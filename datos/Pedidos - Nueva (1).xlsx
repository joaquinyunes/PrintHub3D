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Ventas" sheetId="2" r:id="rId6"/>
    <sheet state="visible" name="Dashboard" sheetId="3" r:id="rId7"/>
    <sheet state="visible" name="Filamento" sheetId="4" r:id="rId8"/>
    <sheet state="visible" name="Gastos" sheetId="5" r:id="rId9"/>
    <sheet state="visible" name="Hoja 6" sheetId="6" r:id="rId10"/>
  </sheets>
  <definedNames/>
  <calcPr/>
</workbook>
</file>

<file path=xl/sharedStrings.xml><?xml version="1.0" encoding="utf-8"?>
<sst xmlns="http://schemas.openxmlformats.org/spreadsheetml/2006/main" count="2208" uniqueCount="1123">
  <si>
    <t>Columna 1</t>
  </si>
  <si>
    <t>CLIENTE</t>
  </si>
  <si>
    <t>PRODUCTO</t>
  </si>
  <si>
    <t>DESCRIPCION</t>
  </si>
  <si>
    <t>FECHA DE ENTREGA</t>
  </si>
  <si>
    <t>Total (ARS)</t>
  </si>
  <si>
    <t>SEÑA</t>
  </si>
  <si>
    <t>SALDO</t>
  </si>
  <si>
    <t>CANAL</t>
  </si>
  <si>
    <t>ESTADO</t>
  </si>
  <si>
    <t>Juanjo</t>
  </si>
  <si>
    <t>Vasos 500 ml + Vasos 1 lt</t>
  </si>
  <si>
    <t>10 vasos 500ml tercer tiempo + 3 vasos de litro 3er tiempo</t>
  </si>
  <si>
    <t>WhatsApp</t>
  </si>
  <si>
    <t>Listo</t>
  </si>
  <si>
    <t>hector</t>
  </si>
  <si>
    <t>vaso 1lt boca silk 2025</t>
  </si>
  <si>
    <t>nombre ale</t>
  </si>
  <si>
    <t>Santino Hamburgueseria</t>
  </si>
  <si>
    <t>Iman para heladera</t>
  </si>
  <si>
    <t>Iman abridor con el logo de Santino x10</t>
  </si>
  <si>
    <t>Rosario</t>
  </si>
  <si>
    <t xml:space="preserve">cabeza de oso fredy </t>
  </si>
  <si>
    <t xml:space="preserve">cabeza completa </t>
  </si>
  <si>
    <t>Post-procesado</t>
  </si>
  <si>
    <t>beto peluquero</t>
  </si>
  <si>
    <t xml:space="preserve">cartel de pastito </t>
  </si>
  <si>
    <t>glow spa y relax</t>
  </si>
  <si>
    <t>Marcelo Paso</t>
  </si>
  <si>
    <t>Vaso Fernetero Clasico 650 ml</t>
  </si>
  <si>
    <t>Un poco de chisme rosa</t>
  </si>
  <si>
    <t>Entregado</t>
  </si>
  <si>
    <t>Ahora no estoy muy ebria</t>
  </si>
  <si>
    <t>Marce Paso</t>
  </si>
  <si>
    <t>Vaso Fernetero Texturizado 2025 650 ml x1</t>
  </si>
  <si>
    <t>caballo - frase "Siempre hay un relincho y un galope que nos hace sentir vivso" - logo personalizado</t>
  </si>
  <si>
    <t>Personalizado con logo del Paso</t>
  </si>
  <si>
    <t>Llaveros personalizados x12</t>
  </si>
  <si>
    <t>Con logo de su negocio</t>
  </si>
  <si>
    <t>Con logo de paso de la patria</t>
  </si>
  <si>
    <t>Vaso Fernetero Texturizado 2025 650 ml x2</t>
  </si>
  <si>
    <t>Boca y River</t>
  </si>
  <si>
    <t>Martin Amigo</t>
  </si>
  <si>
    <t>Vaso Fernetero Texturizado 2026 1 lt x3</t>
  </si>
  <si>
    <t>Vaso Nuevo Modelo AFA</t>
  </si>
  <si>
    <t>tere</t>
  </si>
  <si>
    <t xml:space="preserve">20 llaveros personalizados </t>
  </si>
  <si>
    <t xml:space="preserve">soporte llavero personalizado - vicky mis 15 </t>
  </si>
  <si>
    <t>Instagram</t>
  </si>
  <si>
    <t>Imprimiendo</t>
  </si>
  <si>
    <t xml:space="preserve">juan ignacio </t>
  </si>
  <si>
    <t xml:space="preserve">llaveros personalizados x30 spiderman </t>
  </si>
  <si>
    <t xml:space="preserve">italo - mis 2 añitos </t>
  </si>
  <si>
    <t>igna syk</t>
  </si>
  <si>
    <t xml:space="preserve">2 soporte de ipad </t>
  </si>
  <si>
    <t xml:space="preserve">verde oscuro y negro </t>
  </si>
  <si>
    <t>Joni Iluminados</t>
  </si>
  <si>
    <t>Llaveros personalizados x10</t>
  </si>
  <si>
    <t>De grupo iluminados</t>
  </si>
  <si>
    <t>antonella</t>
  </si>
  <si>
    <t>10 vasos BP 650ml + milkshake luffy</t>
  </si>
  <si>
    <t xml:space="preserve">personalizados / 2 vasos con el escudo de racing al otro lado </t>
  </si>
  <si>
    <t xml:space="preserve">el poderoso </t>
  </si>
  <si>
    <t xml:space="preserve">10 llaveros personalizados </t>
  </si>
  <si>
    <t>noelia</t>
  </si>
  <si>
    <t xml:space="preserve">s10 replica </t>
  </si>
  <si>
    <t xml:space="preserve">pintado </t>
  </si>
  <si>
    <t>seño maru</t>
  </si>
  <si>
    <t>15 llaveros coca cola con nombre y fecha</t>
  </si>
  <si>
    <t>Mauri 6/5/2026</t>
  </si>
  <si>
    <t>cecilia</t>
  </si>
  <si>
    <t>Figuras</t>
  </si>
  <si>
    <t>Paw patrol de 5 cm aprox + Logo</t>
  </si>
  <si>
    <t>Juan Antonio Billordo</t>
  </si>
  <si>
    <t>Vaso Sapucay + logo sapucay + logo bateria poderosa + "SIL" ene l medio y en vertical</t>
  </si>
  <si>
    <t>Angeles Esquivel</t>
  </si>
  <si>
    <t>Cajitas porta figuritas x3</t>
  </si>
  <si>
    <t>Con nombre mateo + benja + misa</t>
  </si>
  <si>
    <t>Gisela (ctes.mercado)</t>
  </si>
  <si>
    <t xml:space="preserve">3 cajas de figuritas </t>
  </si>
  <si>
    <t>con nombres: Genaro L
Ivo 
Felipe</t>
  </si>
  <si>
    <t xml:space="preserve">romi galarza </t>
  </si>
  <si>
    <t xml:space="preserve">caja figuritas 200 figuritas modelo normal </t>
  </si>
  <si>
    <t>cipriano</t>
  </si>
  <si>
    <t>anibal R</t>
  </si>
  <si>
    <t>vaso 650ml celeste / vaso 1 litro azul</t>
  </si>
  <si>
    <t xml:space="preserve">logistica raviol </t>
  </si>
  <si>
    <t>gustavo 3hnos</t>
  </si>
  <si>
    <t>1 vaso aranduro 1L - 1 copa fernetera.</t>
  </si>
  <si>
    <t>daiana</t>
  </si>
  <si>
    <t>vaso 650ml updr amarillo clasico</t>
  </si>
  <si>
    <t xml:space="preserve">vaso river 650ml para HOY  rojo </t>
  </si>
  <si>
    <t xml:space="preserve">Picante paredes y el nro 7 </t>
  </si>
  <si>
    <t>Dimas David Ziegenbein</t>
  </si>
  <si>
    <t>con el nombre benja</t>
  </si>
  <si>
    <t>carlitos</t>
  </si>
  <si>
    <t>vaso 650ml negro con azul francia</t>
  </si>
  <si>
    <t>2 logos enviado global -  si no se puede -&gt;  numero "31 " / la banda de carlitos</t>
  </si>
  <si>
    <t>anibal Raviol</t>
  </si>
  <si>
    <t xml:space="preserve">vaso 1L 2026 texturizado </t>
  </si>
  <si>
    <t xml:space="preserve">negro franja azul - logo taller mecanico - herramienta o algo </t>
  </si>
  <si>
    <t>Real 82</t>
  </si>
  <si>
    <t>Cartel x3</t>
  </si>
  <si>
    <t>Cartel "El Almacen" de 25 cm de largo</t>
  </si>
  <si>
    <t>Marta Mabel Blanco</t>
  </si>
  <si>
    <t>en dorado + Valentino</t>
  </si>
  <si>
    <t>eliana</t>
  </si>
  <si>
    <t xml:space="preserve">dorado + Luciano </t>
  </si>
  <si>
    <t>Facebook</t>
  </si>
  <si>
    <t>maria jose</t>
  </si>
  <si>
    <t>dorada</t>
  </si>
  <si>
    <t>Tia Guadalupe</t>
  </si>
  <si>
    <t>Andy DJ</t>
  </si>
  <si>
    <t>Repuesto</t>
  </si>
  <si>
    <t>Perillas para consola DJ (5 de un modelo y 5 de otro)</t>
  </si>
  <si>
    <t>Vic Delgado Costa</t>
  </si>
  <si>
    <t>caja figuritas 200 figuritas modelo normal x2</t>
  </si>
  <si>
    <t>Celeste</t>
  </si>
  <si>
    <t>Dai Molina</t>
  </si>
  <si>
    <t xml:space="preserve">caja figu </t>
  </si>
  <si>
    <t xml:space="preserve">dorada - joaquin </t>
  </si>
  <si>
    <t>caja figurita celeste</t>
  </si>
  <si>
    <t>celeste - genaro</t>
  </si>
  <si>
    <t>Virginia Paine</t>
  </si>
  <si>
    <t>Dorada IAN - Celeste ciro</t>
  </si>
  <si>
    <t>Josefina</t>
  </si>
  <si>
    <t xml:space="preserve">nombre RAFA </t>
  </si>
  <si>
    <t>alan lopez</t>
  </si>
  <si>
    <t xml:space="preserve">caja x2 </t>
  </si>
  <si>
    <t>evelin tatiana</t>
  </si>
  <si>
    <t xml:space="preserve">dummy 25cm </t>
  </si>
  <si>
    <t>accesorios en celeste</t>
  </si>
  <si>
    <t xml:space="preserve">andrea </t>
  </si>
  <si>
    <t>gio story4 x10  + 5 de Rex  + 5 de slinki</t>
  </si>
  <si>
    <t>luna</t>
  </si>
  <si>
    <t>vaso milkshake Rumi</t>
  </si>
  <si>
    <t>evelin la panera</t>
  </si>
  <si>
    <t>servilletero</t>
  </si>
  <si>
    <t xml:space="preserve">10 de ancho y 7-10 cm de alto aprox - diseño patita </t>
  </si>
  <si>
    <t>Rocio Massi</t>
  </si>
  <si>
    <t>Cajitas porta figuritas (p/200) x1</t>
  </si>
  <si>
    <t>nombre: vicente  --celeste con blanco - 18 hs busca</t>
  </si>
  <si>
    <t>blanco con celeste - nombre rocco</t>
  </si>
  <si>
    <t>analia</t>
  </si>
  <si>
    <t>2 cajas de 200 - nombres atras</t>
  </si>
  <si>
    <t>celeste y blanco (feli) - negro dorado (bauti baez)</t>
  </si>
  <si>
    <t>so</t>
  </si>
  <si>
    <t>caja 200 dorado con negro</t>
  </si>
  <si>
    <t>nombre IGNACIO</t>
  </si>
  <si>
    <t>Electronica John</t>
  </si>
  <si>
    <t>Cajitas porta figuritas (p/200) x10</t>
  </si>
  <si>
    <t>Surtido</t>
  </si>
  <si>
    <t>Cajitas porta figuritas (p/100) x10</t>
  </si>
  <si>
    <t>copa noac</t>
  </si>
  <si>
    <t>Trofeos Economicos</t>
  </si>
  <si>
    <t xml:space="preserve">20cm aprox </t>
  </si>
  <si>
    <t xml:space="preserve">Haidee Andrea Romero </t>
  </si>
  <si>
    <t>Cajitas porta figuritas (p/100) x1 (vertical)</t>
  </si>
  <si>
    <t>En color negro (BUSCA MAÑANA A LA TARDE)</t>
  </si>
  <si>
    <t xml:space="preserve">gera </t>
  </si>
  <si>
    <t>Cajitas porta figuritas (p/200) x2</t>
  </si>
  <si>
    <t>2 azul nombres arriba : salva - benjamin</t>
  </si>
  <si>
    <t>blanco con celeste  - nombres : Benicio - Vicente</t>
  </si>
  <si>
    <t>emanuel quarin</t>
  </si>
  <si>
    <t>Trofeo 40cm (13cm de base aprox)</t>
  </si>
  <si>
    <t>https://makerworld.com/es/models/533151-soccer-trophy-v2?from=search#profileId-449991</t>
  </si>
  <si>
    <t>vasos miami</t>
  </si>
  <si>
    <t>8 y 8 personalizados</t>
  </si>
  <si>
    <t xml:space="preserve">quiere ver un modelo </t>
  </si>
  <si>
    <t xml:space="preserve"> Gabi Chelisky</t>
  </si>
  <si>
    <t>celeste</t>
  </si>
  <si>
    <t>María Pía Méndez</t>
  </si>
  <si>
    <t>Negra con dorado (sin stroke) "FELIPE" atrás + Celeste con blanco (sin stroke) "JOAQUÍN" atrás</t>
  </si>
  <si>
    <t>Roxana Rey</t>
  </si>
  <si>
    <t>caja porta figuritas negro</t>
  </si>
  <si>
    <t xml:space="preserve">nombre atras: AYAx </t>
  </si>
  <si>
    <t xml:space="preserve"> </t>
  </si>
  <si>
    <t>Daniel Tito</t>
  </si>
  <si>
    <t>Dorado (el 2 6 con borde blanco)</t>
  </si>
  <si>
    <t xml:space="preserve">melisa </t>
  </si>
  <si>
    <t>dummy blanco esqueleto negro</t>
  </si>
  <si>
    <t xml:space="preserve">20 cm de alto </t>
  </si>
  <si>
    <t>caja figuritas dorada z200</t>
  </si>
  <si>
    <t>Marina Avellanal</t>
  </si>
  <si>
    <t xml:space="preserve">vaso sonic </t>
  </si>
  <si>
    <t>marcelo maccari</t>
  </si>
  <si>
    <t>caja figuritas x200 x2 unidades copa y estrellitas</t>
  </si>
  <si>
    <t>celeste y blanco nombre Bauti - rosa y blanco nombre CARMELA</t>
  </si>
  <si>
    <t>Ivanita Martinez</t>
  </si>
  <si>
    <t>Cajitas porta figuritas (p/100) x1</t>
  </si>
  <si>
    <t>En negro (ENVIAR A LA TARDE)</t>
  </si>
  <si>
    <t>Esther Perfumo</t>
  </si>
  <si>
    <t>Dorado + Bernardo arriba</t>
  </si>
  <si>
    <t>Mari</t>
  </si>
  <si>
    <t>Dorado + Aquiles arriba</t>
  </si>
  <si>
    <t xml:space="preserve">Soporte para celular </t>
  </si>
  <si>
    <t>Modelo que haciamos antes en negro</t>
  </si>
  <si>
    <t>cesar</t>
  </si>
  <si>
    <t xml:space="preserve">vaso 1 litro branca - negro y dorado </t>
  </si>
  <si>
    <t>JHaidee Andrea Romero</t>
  </si>
  <si>
    <t>negro</t>
  </si>
  <si>
    <t>ariana</t>
  </si>
  <si>
    <t xml:space="preserve">Vaso 1 litro boca - azul oscuro - </t>
  </si>
  <si>
    <t>12 abajo  Nro 9 y "luciano"</t>
  </si>
  <si>
    <t>maria lujan</t>
  </si>
  <si>
    <t>vaso ara bera rojo</t>
  </si>
  <si>
    <t xml:space="preserve">nombre : Maria lujan </t>
  </si>
  <si>
    <t>MARCE PASO</t>
  </si>
  <si>
    <t>LLAVEROS PASO DE LA PATRIA</t>
  </si>
  <si>
    <t>angeles</t>
  </si>
  <si>
    <t>caja 200 celeste</t>
  </si>
  <si>
    <t>melania barbosa</t>
  </si>
  <si>
    <t xml:space="preserve">1 caja de harry potter </t>
  </si>
  <si>
    <t>1 caja modelo azul p/100</t>
  </si>
  <si>
    <t>rocio</t>
  </si>
  <si>
    <t>caja dorada -</t>
  </si>
  <si>
    <t xml:space="preserve">nombre LOLARDO </t>
  </si>
  <si>
    <t>Andrelez</t>
  </si>
  <si>
    <t xml:space="preserve">vaso river negro 650ml </t>
  </si>
  <si>
    <t>nombre JORGE</t>
  </si>
  <si>
    <t>Gabriela Seoane</t>
  </si>
  <si>
    <t>Modelo horizontal - en celeste - "bruno"</t>
  </si>
  <si>
    <t>Ctes Mercado</t>
  </si>
  <si>
    <t>Rosa: Maria Paz - Dorada: Bauti V</t>
  </si>
  <si>
    <t>Florencia Aquino</t>
  </si>
  <si>
    <t>Negro</t>
  </si>
  <si>
    <t>BorisGamorra</t>
  </si>
  <si>
    <t>Filamentos</t>
  </si>
  <si>
    <t>3n3: amarillo rojo azul y blanco petg (ENVIAR A PASO DE LOS LIBRES)</t>
  </si>
  <si>
    <t>Dahianabasualdo</t>
  </si>
  <si>
    <t xml:space="preserve">Vaso Fernetero Clásico 650 ml </t>
  </si>
  <si>
    <t>UPDR amarillo con oaaa y "Pepe"</t>
  </si>
  <si>
    <t>Flor</t>
  </si>
  <si>
    <t>Negro x2</t>
  </si>
  <si>
    <t xml:space="preserve">Analia Haedo </t>
  </si>
  <si>
    <t>Celeste + Bautista arriba</t>
  </si>
  <si>
    <t xml:space="preserve">Marianela Feltan </t>
  </si>
  <si>
    <t>De Pokemon</t>
  </si>
  <si>
    <t>Juanpi Caminos</t>
  </si>
  <si>
    <t xml:space="preserve">Vaso Fernetero Texturizado 2025 650 ml </t>
  </si>
  <si>
    <t>Vaso negro con franja rojo y azul + Escudo de Victoria Futsal</t>
  </si>
  <si>
    <t>Cliente X</t>
  </si>
  <si>
    <t xml:space="preserve">Vaso Fernetero Texturizado 2026 650 ml </t>
  </si>
  <si>
    <t>Un poco de chisme - aca no se juzga</t>
  </si>
  <si>
    <t xml:space="preserve">majo </t>
  </si>
  <si>
    <t xml:space="preserve">mate argentina negro </t>
  </si>
  <si>
    <t xml:space="preserve">el abuelo </t>
  </si>
  <si>
    <t>caja 200</t>
  </si>
  <si>
    <t>celeste y blanco - nombre ROCCO</t>
  </si>
  <si>
    <t>Adri Rios</t>
  </si>
  <si>
    <t xml:space="preserve">Portalatas </t>
  </si>
  <si>
    <t>de AC DC + nombre Orly</t>
  </si>
  <si>
    <t>Muñecos Otaku</t>
  </si>
  <si>
    <t xml:space="preserve">vaso 650 clasico fucisa con blanco </t>
  </si>
  <si>
    <t>la ultima y me voy - MAGDALENA</t>
  </si>
  <si>
    <t>Nicolas Villanueva</t>
  </si>
  <si>
    <t>Cajitas p/200 x5</t>
  </si>
  <si>
    <t>Dorado x3 - Blanco x1 - Celeste x1 - Rosa - Sadie</t>
  </si>
  <si>
    <t>Cajita p/200 x1</t>
  </si>
  <si>
    <t>Rosa - Isabella</t>
  </si>
  <si>
    <t>Laura amiga pole</t>
  </si>
  <si>
    <t>Animales</t>
  </si>
  <si>
    <t xml:space="preserve">Ycaré flexible de 10 cm de largo - Carpincho de 5 cm de alto y 2 de 2,5 cm </t>
  </si>
  <si>
    <t>Jose Damian Calere</t>
  </si>
  <si>
    <t>Vaso Fernetero Texturizado 2025 1 lt</t>
  </si>
  <si>
    <t>Vaso blanco con franja verde agua - logo de Jacuna eventos (en negro y rojo) + Lourdes en verde agua</t>
  </si>
  <si>
    <t>cj198140</t>
  </si>
  <si>
    <t xml:space="preserve">vaso boca 650ml </t>
  </si>
  <si>
    <t>Que tono de azul?nombre Lauti</t>
  </si>
  <si>
    <t>marcelo jorge acosta</t>
  </si>
  <si>
    <t>figura michael jackson</t>
  </si>
  <si>
    <t>pintado necesita si o si para el otro viernes</t>
  </si>
  <si>
    <t>lopez ramon</t>
  </si>
  <si>
    <t>vaso camiseta argentina</t>
  </si>
  <si>
    <t>Mayra Aguirre Gomez</t>
  </si>
  <si>
    <t>Llaveros personalizados x30</t>
  </si>
  <si>
    <t>De jesus + frase "Haz mi corazon semejante al tuyp"</t>
  </si>
  <si>
    <t xml:space="preserve">marce pàso </t>
  </si>
  <si>
    <t>Vaso Fernetero Clasico</t>
  </si>
  <si>
    <t>Racing + Un poco de chisme</t>
  </si>
  <si>
    <t>nico silva</t>
  </si>
  <si>
    <t>river rojo 1L</t>
  </si>
  <si>
    <t xml:space="preserve">9/12 - Nico y NRo 36 - </t>
  </si>
  <si>
    <t>Vaso Fernetero 2026 650 ml</t>
  </si>
  <si>
    <t>AFA azul - juanchy y el numero 5</t>
  </si>
  <si>
    <t>maguii</t>
  </si>
  <si>
    <t xml:space="preserve">vaso river negro clasico  650ml </t>
  </si>
  <si>
    <t>nombre Chori</t>
  </si>
  <si>
    <t>david navarro</t>
  </si>
  <si>
    <t xml:space="preserve">vaso camiseta boca </t>
  </si>
  <si>
    <t>nombre Francisco Navarro</t>
  </si>
  <si>
    <t>-vaso chop de arg 650ml</t>
  </si>
  <si>
    <t>-botella cortada</t>
  </si>
  <si>
    <t xml:space="preserve"> de arg</t>
  </si>
  <si>
    <t xml:space="preserve">-portalata trc hockey  negro y blanco </t>
  </si>
  <si>
    <t xml:space="preserve">logo trc hockey - nombre : SALO </t>
  </si>
  <si>
    <t>-portalatas de argentina</t>
  </si>
  <si>
    <t xml:space="preserve">milagros </t>
  </si>
  <si>
    <t>vaso de boca 650ml</t>
  </si>
  <si>
    <t>retira el jueves</t>
  </si>
  <si>
    <t xml:space="preserve">deco </t>
  </si>
  <si>
    <t xml:space="preserve">hacer los osos un modelo de breash </t>
  </si>
  <si>
    <t>con nombre</t>
  </si>
  <si>
    <t>anibal</t>
  </si>
  <si>
    <t xml:space="preserve">vaso 650ml </t>
  </si>
  <si>
    <t xml:space="preserve">mismo azul que el de litro </t>
  </si>
  <si>
    <t xml:space="preserve"> Gabriel gilardi</t>
  </si>
  <si>
    <t>portalatas boca azul</t>
  </si>
  <si>
    <t>nombre: Jony</t>
  </si>
  <si>
    <t xml:space="preserve">david navarro </t>
  </si>
  <si>
    <t>vaso camiseta river 1L</t>
  </si>
  <si>
    <t>nombre Coko</t>
  </si>
  <si>
    <t xml:space="preserve">vaso camiseta mandiyu </t>
  </si>
  <si>
    <t>nombre pocho</t>
  </si>
  <si>
    <t>ramon</t>
  </si>
  <si>
    <t xml:space="preserve">vaso 650ml AFA </t>
  </si>
  <si>
    <t>#10 RAMÓN</t>
  </si>
  <si>
    <t>Ctes en el aire</t>
  </si>
  <si>
    <t>Vaso Texturizado 2025 650 ml</t>
  </si>
  <si>
    <t>Boca Azul silk - logo aniversario (llevar a la radio)</t>
  </si>
  <si>
    <t>lopez ruben dario</t>
  </si>
  <si>
    <t xml:space="preserve">vaso camiseta 1L </t>
  </si>
  <si>
    <t>nombre Benicio</t>
  </si>
  <si>
    <t>Mariana BRITTEZ</t>
  </si>
  <si>
    <t xml:space="preserve">vaso river 2026 1L </t>
  </si>
  <si>
    <t>river negro - nombre Adrian (manija river plate)</t>
  </si>
  <si>
    <t>federico</t>
  </si>
  <si>
    <t xml:space="preserve">2 cajas de 100 </t>
  </si>
  <si>
    <t>una dorada y otra celeste</t>
  </si>
  <si>
    <t>Ramona Margarita Escobar</t>
  </si>
  <si>
    <t>boca camiseta 1L</t>
  </si>
  <si>
    <t>Joa feliz dia del padre -  mama - 2026 envio foto al wpp de global</t>
  </si>
  <si>
    <t>fernando vielma</t>
  </si>
  <si>
    <t>replica copa del mundo</t>
  </si>
  <si>
    <t>silk</t>
  </si>
  <si>
    <t>Negro con franjas en rojo y blanco - Logo del Indio</t>
  </si>
  <si>
    <t xml:space="preserve">maxi </t>
  </si>
  <si>
    <t xml:space="preserve">david michellangelo 50cm </t>
  </si>
  <si>
    <t xml:space="preserve">logo de la comparsa y 2027 </t>
  </si>
  <si>
    <t>Cliente de Nico</t>
  </si>
  <si>
    <t>Vasos Ferneteros Texturizados 2026 AFA x15</t>
  </si>
  <si>
    <t>Nada</t>
  </si>
  <si>
    <t>BP pastas</t>
  </si>
  <si>
    <t>Vasos Ferneteros Texturizados 2026 AFA x6</t>
  </si>
  <si>
    <t>Con un messi dando besito a copa</t>
  </si>
  <si>
    <t>Gabrie Gildardo</t>
  </si>
  <si>
    <t>Nombre</t>
  </si>
  <si>
    <t>Nombre Yoni para portalatas</t>
  </si>
  <si>
    <t>Vaso Camiseta Boca 1 lt x2</t>
  </si>
  <si>
    <t>Boca los dos con nombres</t>
  </si>
  <si>
    <t>Portalatas x2</t>
  </si>
  <si>
    <t>Boca y Argentina los dos con nombres</t>
  </si>
  <si>
    <t>Karen Sambrana</t>
  </si>
  <si>
    <t>vaso boca camiseta 1L</t>
  </si>
  <si>
    <t>nombre lucas</t>
  </si>
  <si>
    <t>Rocio Cliente del Local</t>
  </si>
  <si>
    <t xml:space="preserve">  </t>
  </si>
  <si>
    <t xml:space="preserve"> Boca</t>
  </si>
  <si>
    <t>micaela wpp nico</t>
  </si>
  <si>
    <t>vaso camiseta 1L Boca</t>
  </si>
  <si>
    <t xml:space="preserve">con nombre Maxi - BUSCA SABADO A LA MAÑANA </t>
  </si>
  <si>
    <t>cetrogar</t>
  </si>
  <si>
    <t xml:space="preserve">replica copa  25 -27 cm de alto </t>
  </si>
  <si>
    <t>con factura</t>
  </si>
  <si>
    <t xml:space="preserve">separadores cruz x30 </t>
  </si>
  <si>
    <t xml:space="preserve"> con facvtura -para el sabado</t>
  </si>
  <si>
    <t>estefi</t>
  </si>
  <si>
    <t>portalatas argentina</t>
  </si>
  <si>
    <t>nombre gabriel</t>
  </si>
  <si>
    <t>Chavito</t>
  </si>
  <si>
    <t>Vaso Fernetero Clasico 650 ml x2</t>
  </si>
  <si>
    <t>Azul police con logo de talleres + Vaso de Yiyo</t>
  </si>
  <si>
    <t>Gomez Cecilia</t>
  </si>
  <si>
    <t>Bandeja del dia del padre</t>
  </si>
  <si>
    <t>Vaso Camiseta River 1L "Juan"</t>
  </si>
  <si>
    <t xml:space="preserve">Cristian Galeria </t>
  </si>
  <si>
    <t>Vaso Camiseta 1lt</t>
  </si>
  <si>
    <t>Argentina 1 - Boca 2 - River 2</t>
  </si>
  <si>
    <t>Marce del paso</t>
  </si>
  <si>
    <t xml:space="preserve">Vaso Fernetero Texturizado </t>
  </si>
  <si>
    <t>Personalizado</t>
  </si>
  <si>
    <t>Vaso Fernetero Texturizado x3</t>
  </si>
  <si>
    <t>Paso de la patria</t>
  </si>
  <si>
    <t>Alba Naessens</t>
  </si>
  <si>
    <t xml:space="preserve">Logo Sapucay </t>
  </si>
  <si>
    <t>25 cm de largo - y 4 de 6 cm de largo}</t>
  </si>
  <si>
    <t>erika ramirez ruizdia</t>
  </si>
  <si>
    <t>portalatas river</t>
  </si>
  <si>
    <t>nombre cristian</t>
  </si>
  <si>
    <t>Andrea Cabral (3794006384)</t>
  </si>
  <si>
    <t>Vasos milkshake x2</t>
  </si>
  <si>
    <t>Mario "joaquin" Luigi "Emmanuel"</t>
  </si>
  <si>
    <t>Agustin Viana (3794933310)</t>
  </si>
  <si>
    <t>Vaso Camiseta River 1lt</t>
  </si>
  <si>
    <t>River Blanco "Don Viana"</t>
  </si>
  <si>
    <t>Celeste Balbastro (1137720459)</t>
  </si>
  <si>
    <t>Vaso Camiseta 650 ml</t>
  </si>
  <si>
    <t>Sin personalizar con los mismos parches de 1 lt</t>
  </si>
  <si>
    <t>Daiana Valenzuela (</t>
  </si>
  <si>
    <t>Vasos Camiseta x6 1lt</t>
  </si>
  <si>
    <t>Argentina 1 - Boca 3 - Mandiyu 1 - San Lorenzo 1(el modelo que ya hay)</t>
  </si>
  <si>
    <t>marina viviana gomez</t>
  </si>
  <si>
    <t>Capibara Pintado</t>
  </si>
  <si>
    <t>pintado realista familia capibara</t>
  </si>
  <si>
    <t>Johana Gisel Vega</t>
  </si>
  <si>
    <t>Vaso camiseta 1 lt</t>
  </si>
  <si>
    <t>Vaso Boca con nombre "cogote el 11 bravo" - del otro lado el mapa de chaco y abajo saens peña-chaco</t>
  </si>
  <si>
    <t>macarena</t>
  </si>
  <si>
    <t>caja x200 DORADA</t>
  </si>
  <si>
    <t>nombre maxi</t>
  </si>
  <si>
    <t>Rodri Morena</t>
  </si>
  <si>
    <t xml:space="preserve">Vaso Camiseta boca 1lt </t>
  </si>
  <si>
    <t xml:space="preserve">nombre sergio </t>
  </si>
  <si>
    <t>Guille</t>
  </si>
  <si>
    <t>Vaso Camiseta River 650ml</t>
  </si>
  <si>
    <t>nombre VALENTIN</t>
  </si>
  <si>
    <t>Lora</t>
  </si>
  <si>
    <t>Vaso Camiseta Argentina 1lt</t>
  </si>
  <si>
    <t>antes de las 18y30</t>
  </si>
  <si>
    <t>BP Pastas</t>
  </si>
  <si>
    <t>Vaso Fernetero Texturizado 2026 650 ml x10</t>
  </si>
  <si>
    <t>AFA con logo de BP en colores de argentina + messi besando la copa</t>
  </si>
  <si>
    <t>ARNALDO</t>
  </si>
  <si>
    <t>Vasos milkshake x3</t>
  </si>
  <si>
    <t>unicornio rosita, stich magda, micky mouse pili</t>
  </si>
  <si>
    <t>novia profe nico</t>
  </si>
  <si>
    <t xml:space="preserve">abecedario - 2 juegos de vocales </t>
  </si>
  <si>
    <t xml:space="preserve">con canal para rellenar </t>
  </si>
  <si>
    <t>Gastón</t>
  </si>
  <si>
    <t>Vaso camiseta 1lt</t>
  </si>
  <si>
    <t>River</t>
  </si>
  <si>
    <t>Agus Empleada</t>
  </si>
  <si>
    <t>Vaso Fernetero Texturizado 650 ml</t>
  </si>
  <si>
    <t>Racing</t>
  </si>
  <si>
    <t>Otro</t>
  </si>
  <si>
    <t xml:space="preserve">pokemon onix </t>
  </si>
  <si>
    <t xml:space="preserve">6-10cm max </t>
  </si>
  <si>
    <t>Christian Daniel Ojeda</t>
  </si>
  <si>
    <t>Vaso Fernetero Texturizado 2026 1lt</t>
  </si>
  <si>
    <t>Vaso personalizado (mandó el logo a wpp de global)</t>
  </si>
  <si>
    <t>dany de los santos</t>
  </si>
  <si>
    <t xml:space="preserve">Llaveros Sagrado Corazon  </t>
  </si>
  <si>
    <t xml:space="preserve">31 llaveros </t>
  </si>
  <si>
    <t>Fernando Ortiga</t>
  </si>
  <si>
    <t>River con Carp en la base (mandar a bs as )</t>
  </si>
  <si>
    <t>Giorgio</t>
  </si>
  <si>
    <t>Stand x2</t>
  </si>
  <si>
    <t>de tamaño a4 en negro</t>
  </si>
  <si>
    <t>Vasos Milkshake x23</t>
  </si>
  <si>
    <t xml:space="preserve">Personajes de Sonic - que sean mas sonic y shadow </t>
  </si>
  <si>
    <t>Luisana</t>
  </si>
  <si>
    <t>Funko personalizado</t>
  </si>
  <si>
    <t>de taekonwondo</t>
  </si>
  <si>
    <t>natalia</t>
  </si>
  <si>
    <t xml:space="preserve">15 llaveros feria de ciencias </t>
  </si>
  <si>
    <t xml:space="preserve">mas logo </t>
  </si>
  <si>
    <t>Melissa Meza</t>
  </si>
  <si>
    <t xml:space="preserve">cotizar abecedario en baille </t>
  </si>
  <si>
    <t>4 juegos de abecedario 2 con referencia y 2 sin ... la tablilla para armar la palabra y la cajita para guardar</t>
  </si>
  <si>
    <t>Mamani veterinario</t>
  </si>
  <si>
    <t>Set matero</t>
  </si>
  <si>
    <t>Vale amiga</t>
  </si>
  <si>
    <t>Portallaves</t>
  </si>
  <si>
    <t>vver modelo en makerword en color carpincho</t>
  </si>
  <si>
    <t>Cintya</t>
  </si>
  <si>
    <t>vaso milkshake X3</t>
  </si>
  <si>
    <t>GOKU - COCODRILO - P`LIM PLIM</t>
  </si>
  <si>
    <t>Enzo G. Schroder</t>
  </si>
  <si>
    <t>Mandiyu - Schroder vertical al costado + la 32 (mandó logo)</t>
  </si>
  <si>
    <t>Maria Noel</t>
  </si>
  <si>
    <t xml:space="preserve">Repuesto </t>
  </si>
  <si>
    <t>Danilo Veron (3794026837)</t>
  </si>
  <si>
    <t xml:space="preserve">Vaso Milskhake </t>
  </si>
  <si>
    <t>Spiderman</t>
  </si>
  <si>
    <t>Laura Rios</t>
  </si>
  <si>
    <t>Set matero x2</t>
  </si>
  <si>
    <t>Un set con bandera de argentina</t>
  </si>
  <si>
    <t>VENTAS JUNIO 2026</t>
  </si>
  <si>
    <t xml:space="preserve">FECHA </t>
  </si>
  <si>
    <t>CANTIDAD</t>
  </si>
  <si>
    <t>FORMA DE PAGO</t>
  </si>
  <si>
    <t>TOTAL</t>
  </si>
  <si>
    <t>OBSERVACIONES</t>
  </si>
  <si>
    <t>Cajita para figuritas p/200</t>
  </si>
  <si>
    <t>Andrea Crudeli</t>
  </si>
  <si>
    <t>Transferencia</t>
  </si>
  <si>
    <t>Fernando Rios</t>
  </si>
  <si>
    <t>Ariel Gerber</t>
  </si>
  <si>
    <t>Efectivo</t>
  </si>
  <si>
    <t>Cajita para figuritas p/200 + Llavero multifunción</t>
  </si>
  <si>
    <t>Stefi Peloso</t>
  </si>
  <si>
    <t>Laura amiga Pole</t>
  </si>
  <si>
    <t>So</t>
  </si>
  <si>
    <t>Vaso Fernetero Texturizado 2025 650 ml Boca</t>
  </si>
  <si>
    <t>Cj</t>
  </si>
  <si>
    <t>Raulo</t>
  </si>
  <si>
    <t>Nico Villanueva</t>
  </si>
  <si>
    <t>Milagros</t>
  </si>
  <si>
    <t>Vaso Fernetero Camiseta 1lt Boca</t>
  </si>
  <si>
    <t>David Navarro</t>
  </si>
  <si>
    <t>Cliente de local</t>
  </si>
  <si>
    <t>Michael Jackson figura</t>
  </si>
  <si>
    <t>Marcelo Acosta</t>
  </si>
  <si>
    <t>Vasos Fernteros Camiseta 1lt (2 AFA y 1 Boca)</t>
  </si>
  <si>
    <t>Alan Ramos Cosimi</t>
  </si>
  <si>
    <t>Toge Inumaki figura</t>
  </si>
  <si>
    <t xml:space="preserve">Adri Rios </t>
  </si>
  <si>
    <t>Vaso Fernetero Clasico 650 ml "La ultima y me voy"</t>
  </si>
  <si>
    <t>Magdalena</t>
  </si>
  <si>
    <t>Portalatas Boca</t>
  </si>
  <si>
    <t>Gabriel Gilardi</t>
  </si>
  <si>
    <t>Copa del mundo fernetera</t>
  </si>
  <si>
    <t>vaso camiseta 1lt</t>
  </si>
  <si>
    <t>cliente de local</t>
  </si>
  <si>
    <t>Vaso Fernetero AFA 650ML + Portalatas AFA + Portalatas Personalizado</t>
  </si>
  <si>
    <t>$          38.000,00</t>
  </si>
  <si>
    <t>Vaso Fernetero Clasico 650 ml River</t>
  </si>
  <si>
    <t>Maguii</t>
  </si>
  <si>
    <t>Vaso Fernetero 1lt</t>
  </si>
  <si>
    <t xml:space="preserve">Benicio </t>
  </si>
  <si>
    <t>$        16.500,00</t>
  </si>
  <si>
    <t>Llaveritos Jesus + Porta Celulares + Vaso Fernetero AFA 650ml</t>
  </si>
  <si>
    <t xml:space="preserve">$       80.500,00 </t>
  </si>
  <si>
    <t>Vaso Texturizado AFA 65Oml</t>
  </si>
  <si>
    <t>$        45.000,00</t>
  </si>
  <si>
    <t>Vaso Fernetero Clasico 650ml Talleres</t>
  </si>
  <si>
    <t>Vaso Camiseta 650 ml AFA</t>
  </si>
  <si>
    <t>Cliente del local</t>
  </si>
  <si>
    <t>Llaveros Multifuncion Afa</t>
  </si>
  <si>
    <t>Vaso Camiseta Boca 1lt</t>
  </si>
  <si>
    <t>Ramona</t>
  </si>
  <si>
    <t>Bandeja del dia del Padre (con vaso camiseta river 1lt)</t>
  </si>
  <si>
    <t>Cecilia Gomez</t>
  </si>
  <si>
    <t>Vaso Camiseta River y Mandiyu 1lt</t>
  </si>
  <si>
    <t>Vaso Camiseta AFA 1lt</t>
  </si>
  <si>
    <t>Vaso Fernetero Texturizado 2026 AFA 650 ml</t>
  </si>
  <si>
    <t>Vaso Fernetero Personalizado BP</t>
  </si>
  <si>
    <t>Vaso Milkshake Luffo</t>
  </si>
  <si>
    <t>Vaso Fernetero AFA 650 ml Personalizado BP</t>
  </si>
  <si>
    <t>Vaso Camiseta 1 lt Boca AFA San Lorenzo Mandiyu</t>
  </si>
  <si>
    <t>Daiana Valenzuela</t>
  </si>
  <si>
    <t>Vaso Fernetero Texturizado 650 ml varios</t>
  </si>
  <si>
    <t>Vaso Camiseta 1lt River</t>
  </si>
  <si>
    <t>Gaston</t>
  </si>
  <si>
    <t>Agustin Viana</t>
  </si>
  <si>
    <t>Vaso Camiseta 650 ml River</t>
  </si>
  <si>
    <t>Filamento: blanco 3n3</t>
  </si>
  <si>
    <t>Vaso Camiseta 1lt Boca</t>
  </si>
  <si>
    <t>Vaso Fernetero Clasico 650 ml Yiyo y los chicos 10</t>
  </si>
  <si>
    <t xml:space="preserve">Vaso Camiseta 1 lt Boca  </t>
  </si>
  <si>
    <t>Karen</t>
  </si>
  <si>
    <t>Vaso Ferchetto Boca 500 ml</t>
  </si>
  <si>
    <t>Copa del mundo replica 37 cm</t>
  </si>
  <si>
    <t>Fernando Vielma</t>
  </si>
  <si>
    <t>Muñeco flexible pokemon</t>
  </si>
  <si>
    <t>Juan Ignacio</t>
  </si>
  <si>
    <t>Muñeco familia capibara</t>
  </si>
  <si>
    <t>Marina Viviana Gomez</t>
  </si>
  <si>
    <t>uala</t>
  </si>
  <si>
    <t xml:space="preserve">Vaso Camiseta Boca 1lt + Vaso Camiseta AFA 650 ml </t>
  </si>
  <si>
    <t>Pedro Francisco Lopez</t>
  </si>
  <si>
    <t>Llaveros Sagrado Corazón</t>
  </si>
  <si>
    <t>Dany de los santos</t>
  </si>
  <si>
    <t>Brubank</t>
  </si>
  <si>
    <t>Vaso Camiseta 1 lt River</t>
  </si>
  <si>
    <t xml:space="preserve">Uala </t>
  </si>
  <si>
    <t>Cajita para figuritas p/100</t>
  </si>
  <si>
    <t>Novia de Nico</t>
  </si>
  <si>
    <t>Vaso Fernetero Clasico UPDR 1lt</t>
  </si>
  <si>
    <t>Cliente del Local</t>
  </si>
  <si>
    <t>Funko Personalizado</t>
  </si>
  <si>
    <t>Luisana Alfonso</t>
  </si>
  <si>
    <t>Cajita Porta figuritas p/200</t>
  </si>
  <si>
    <t>TOTAL VENTAS</t>
  </si>
  <si>
    <t>VENTAS MAYO 2026</t>
  </si>
  <si>
    <t>Vaso Fernetero Texturizado 2025 650 ml Ferrari y Mercedes Bens</t>
  </si>
  <si>
    <t>Carlos Cesar Monzon</t>
  </si>
  <si>
    <t>Descuento por cliente fiel</t>
  </si>
  <si>
    <t>Llaveros Multifuncion Personalizados</t>
  </si>
  <si>
    <t>El poderoso</t>
  </si>
  <si>
    <t>Descuento por cantidad</t>
  </si>
  <si>
    <t>Copa del Mundo Fernetera</t>
  </si>
  <si>
    <t>Descuento por revendedor</t>
  </si>
  <si>
    <t>Cajita para figuritas dos torres</t>
  </si>
  <si>
    <t>Llaveros Multifuncion AFA</t>
  </si>
  <si>
    <t>Llaveros personalizados Grupo Iluminados</t>
  </si>
  <si>
    <t>Vaso Fernetero Texturizado 2025 650 ml River rojo</t>
  </si>
  <si>
    <t>Vaso Fernetero Clasico 650 ml UPDR</t>
  </si>
  <si>
    <t>Daiana</t>
  </si>
  <si>
    <t>Monica Godoy</t>
  </si>
  <si>
    <t>Lucre</t>
  </si>
  <si>
    <t>Raul</t>
  </si>
  <si>
    <t>Llaveros personalizados Coca Cola</t>
  </si>
  <si>
    <t>Seño Maru</t>
  </si>
  <si>
    <t>Cliente Santa Ana</t>
  </si>
  <si>
    <t>RomiGalarza</t>
  </si>
  <si>
    <t>Vaso Fernetero Texturizado 2025 1lt Sapucay</t>
  </si>
  <si>
    <t>Juan Billordo</t>
  </si>
  <si>
    <t>Gabriel Alejandro Ignacio</t>
  </si>
  <si>
    <t>Maria Jose Rollet</t>
  </si>
  <si>
    <t>Amiga detia guadalupe</t>
  </si>
  <si>
    <t>Anival Raviol</t>
  </si>
  <si>
    <t>Vaso Fernetero Texturizado 2025 1lt y 650 ml Personalizado</t>
  </si>
  <si>
    <t>Cintia</t>
  </si>
  <si>
    <t>Vaso milkshake Guerreras K-Pop Rumi</t>
  </si>
  <si>
    <t>Luciano</t>
  </si>
  <si>
    <t>Marianela Feltan</t>
  </si>
  <si>
    <t>Cajita para figuritas una torres</t>
  </si>
  <si>
    <t>Katherine</t>
  </si>
  <si>
    <t>Vaso Fernetero Texturizado 2025 1lt y Copa Fernetera 1lt</t>
  </si>
  <si>
    <t>Gustavo 3 hermanos</t>
  </si>
  <si>
    <t>Eliana</t>
  </si>
  <si>
    <t>Dimas</t>
  </si>
  <si>
    <t>María Jose Rollet</t>
  </si>
  <si>
    <t>daniela</t>
  </si>
  <si>
    <t>Giulana Marano</t>
  </si>
  <si>
    <t>Maria Carla Acquarone</t>
  </si>
  <si>
    <t>Andrea Gentile</t>
  </si>
  <si>
    <t>Paola Mansini</t>
  </si>
  <si>
    <t>Josefina Nuñez</t>
  </si>
  <si>
    <t>Cajita para figuritas dos torres y una torre</t>
  </si>
  <si>
    <t>Electrica John</t>
  </si>
  <si>
    <t>Maria Bruzzo</t>
  </si>
  <si>
    <t>Yani</t>
  </si>
  <si>
    <t xml:space="preserve">Silvia Aguirre </t>
  </si>
  <si>
    <t>Analia</t>
  </si>
  <si>
    <t>Gera</t>
  </si>
  <si>
    <t>Dummy 13 con armas</t>
  </si>
  <si>
    <t>Evelin</t>
  </si>
  <si>
    <t>Maria Pia Mendez</t>
  </si>
  <si>
    <t xml:space="preserve">Llaveros Personalizados de Spiderman </t>
  </si>
  <si>
    <t>Italo</t>
  </si>
  <si>
    <t>Haidee Andrea Romero</t>
  </si>
  <si>
    <t>Luna</t>
  </si>
  <si>
    <t>Llaveros personalizados GioStory</t>
  </si>
  <si>
    <t>Andrea</t>
  </si>
  <si>
    <t>Repuestos para consola DJ</t>
  </si>
  <si>
    <t>Andy Dj</t>
  </si>
  <si>
    <t>Dahiana</t>
  </si>
  <si>
    <t>Florencia Sanchez</t>
  </si>
  <si>
    <t>Trofeos Económicos</t>
  </si>
  <si>
    <t>Copa Noac</t>
  </si>
  <si>
    <t>Romina Saporiti</t>
  </si>
  <si>
    <t>Vaso Fernetero Texturizado 2026 1 lt Boca</t>
  </si>
  <si>
    <t>Efectivo y transferencia + 15% de descuento por modelo viejo</t>
  </si>
  <si>
    <t>Gaby Chilesky</t>
  </si>
  <si>
    <t>Trofeo Pelota de Futbol</t>
  </si>
  <si>
    <t>Emanuel Quarin</t>
  </si>
  <si>
    <t xml:space="preserve">Inverti Propiedades </t>
  </si>
  <si>
    <t>Mauria Eugenia Gomez</t>
  </si>
  <si>
    <t>Falu</t>
  </si>
  <si>
    <t>Llaveros multifunción FIFA</t>
  </si>
  <si>
    <t>Mercedes Fernandez</t>
  </si>
  <si>
    <t>Efectivo y transferencia + 15% de descuento</t>
  </si>
  <si>
    <t>Llaveros multifunción FIFA y colon</t>
  </si>
  <si>
    <t>Carlos Daniel</t>
  </si>
  <si>
    <t>Fredy</t>
  </si>
  <si>
    <t>Roxana</t>
  </si>
  <si>
    <t xml:space="preserve">Cartel </t>
  </si>
  <si>
    <t>Oasis</t>
  </si>
  <si>
    <t>Sergio Fabian Ayala</t>
  </si>
  <si>
    <t>Vasos Ferneteros Clasicos y Texturizados 2025 650 ml</t>
  </si>
  <si>
    <t>Marce del Paso</t>
  </si>
  <si>
    <t xml:space="preserve">Llaveros Personalizados </t>
  </si>
  <si>
    <t>Vaso Fernetero Texturizado 2025 650 ml Personalizado</t>
  </si>
  <si>
    <t>La Banda de Carlitos</t>
  </si>
  <si>
    <t>Vaso Ferchetto Botella Cortada 1lt Fernet Branca</t>
  </si>
  <si>
    <t>Cesar Amigo</t>
  </si>
  <si>
    <t xml:space="preserve">Dummy 13 </t>
  </si>
  <si>
    <t>Melisa</t>
  </si>
  <si>
    <t>Mati Gallo</t>
  </si>
  <si>
    <t>Maria Lujan</t>
  </si>
  <si>
    <t>Gise</t>
  </si>
  <si>
    <t xml:space="preserve">Natalia Ortiz </t>
  </si>
  <si>
    <t>Rocio Acuña</t>
  </si>
  <si>
    <t xml:space="preserve">Angeles  </t>
  </si>
  <si>
    <t xml:space="preserve">Camioneta S10 </t>
  </si>
  <si>
    <t>Noelia Fernandez</t>
  </si>
  <si>
    <t>Cajita para figuritas una torre</t>
  </si>
  <si>
    <t>Vaso fernetero texturizado Boca 1 lt</t>
  </si>
  <si>
    <t>Ariana</t>
  </si>
  <si>
    <t>Vasos de aluminio 650 ml</t>
  </si>
  <si>
    <t>Boutique</t>
  </si>
  <si>
    <t>Filamentos: blanco, rojo, azul y amarillo</t>
  </si>
  <si>
    <t>Boris Gamarra</t>
  </si>
  <si>
    <t>Vaso Fernetero Texturizado 2025 650 ml</t>
  </si>
  <si>
    <t xml:space="preserve">Andrea Lezcano </t>
  </si>
  <si>
    <t xml:space="preserve">Flor </t>
  </si>
  <si>
    <t>Deivid</t>
  </si>
  <si>
    <t>Analia Haedo</t>
  </si>
  <si>
    <t>Cristian Comparsa</t>
  </si>
  <si>
    <t>Dahiana Basualdo</t>
  </si>
  <si>
    <t>Cajita para figuritas dos torres Pokemon</t>
  </si>
  <si>
    <t>Mauri Yedro</t>
  </si>
  <si>
    <t>Belen</t>
  </si>
  <si>
    <t xml:space="preserve">Vaso Fernetero Texturizado 2026 650 ml Un poco de Chisme </t>
  </si>
  <si>
    <t xml:space="preserve">Cajita para figuritas dos torres </t>
  </si>
  <si>
    <t>Maria Belen Arrua</t>
  </si>
  <si>
    <t>Vaso Milkshake Sonic</t>
  </si>
  <si>
    <t>Crespi y Benji</t>
  </si>
  <si>
    <t>Jessica</t>
  </si>
  <si>
    <t>Alejandra Vella</t>
  </si>
  <si>
    <t>Lorena Sosa</t>
  </si>
  <si>
    <t>Natalia Pogunalik</t>
  </si>
  <si>
    <t>VENTAS ABRIL 2026</t>
  </si>
  <si>
    <t>Filamento: blanco</t>
  </si>
  <si>
    <t>Figura coleccionable de Moana bebe</t>
  </si>
  <si>
    <t>Huevo Golosinero Rumi Guerreras K-pop</t>
  </si>
  <si>
    <t>Braian Alberto Gomez</t>
  </si>
  <si>
    <t xml:space="preserve">Huevo Golosinero Capibara </t>
  </si>
  <si>
    <t>Yanina Carmona</t>
  </si>
  <si>
    <t>Fabricio Rodriguez</t>
  </si>
  <si>
    <t>Vaso Fernetero Texturizado 2025 650 ml: Personalizado</t>
  </si>
  <si>
    <t>Cintia Estela Maris</t>
  </si>
  <si>
    <t>Huevos Golosineros: copa + zoey + Capibara</t>
  </si>
  <si>
    <t>Filamentos: rosa + naranja + gris plomo 3n3</t>
  </si>
  <si>
    <t>Huevos Golosineros: capibara flamenco + princesa + conejo</t>
  </si>
  <si>
    <t>Anita Mierez</t>
  </si>
  <si>
    <t>Vasos Ferneteros Texturizados 2025 650 ml personalizados</t>
  </si>
  <si>
    <t>Portalatas Personalizados</t>
  </si>
  <si>
    <t>Maxi Comparsa Luz Arg</t>
  </si>
  <si>
    <t>Floyd Padel</t>
  </si>
  <si>
    <t xml:space="preserve">Llaveros personalizados </t>
  </si>
  <si>
    <t>Soporte para celular para red de padel</t>
  </si>
  <si>
    <t>Filamento: rosa 3n3</t>
  </si>
  <si>
    <t>Luciano Alegre</t>
  </si>
  <si>
    <t>Alberto Abogado</t>
  </si>
  <si>
    <t>Dummy 13</t>
  </si>
  <si>
    <t>Maria Belen Ramirz</t>
  </si>
  <si>
    <t>Filmanto: dorado silk grilon</t>
  </si>
  <si>
    <t>Llaveros personalizados Bichikids</t>
  </si>
  <si>
    <t>Melissa Sanchez</t>
  </si>
  <si>
    <t>Huevo Golosinero Hello Kitty</t>
  </si>
  <si>
    <t>Laura Fernandez</t>
  </si>
  <si>
    <t xml:space="preserve">Gaston </t>
  </si>
  <si>
    <t>Llaveros Personalizados Milo.J</t>
  </si>
  <si>
    <t>Vaso Fernetero Clasico 650 ml Personalizado</t>
  </si>
  <si>
    <t>Carlitos</t>
  </si>
  <si>
    <t>Vaso Fernetero Texturizado 2025 1lt Personalizado</t>
  </si>
  <si>
    <t>Yhori</t>
  </si>
  <si>
    <t>Llavero multifuncion de AFA</t>
  </si>
  <si>
    <t>Eli Meabe</t>
  </si>
  <si>
    <t>Filamento: piel 720 grilon</t>
  </si>
  <si>
    <t>Vaso Milksahke Guerreras K.pop Mira</t>
  </si>
  <si>
    <t>Vecino</t>
  </si>
  <si>
    <t>Llaveros multifunción afa</t>
  </si>
  <si>
    <t>Sandra Lopresti</t>
  </si>
  <si>
    <t>Cee Joyas</t>
  </si>
  <si>
    <t>Vaso Fernetero Texturizado 2026 1 lt personalizado</t>
  </si>
  <si>
    <t>Francisco</t>
  </si>
  <si>
    <t>Nahuel Encina</t>
  </si>
  <si>
    <t>Mr Sea Boat Rentals</t>
  </si>
  <si>
    <t>Roxana Cardozo</t>
  </si>
  <si>
    <t>Muñecos flexibles: jax y sonic metal</t>
  </si>
  <si>
    <t>Cars rmg</t>
  </si>
  <si>
    <t>Florencia Alarcon</t>
  </si>
  <si>
    <t>Soporte para joystick</t>
  </si>
  <si>
    <t>Compañero de trabajo</t>
  </si>
  <si>
    <t xml:space="preserve">Portalatas San Expedito + Vaso Fernetero Texturizado 2025 1 lt </t>
  </si>
  <si>
    <t>El Poderoso</t>
  </si>
  <si>
    <t>Vasos Ferneteros Texturizados 2026 650 ml AFA</t>
  </si>
  <si>
    <t>Pau</t>
  </si>
  <si>
    <t>Llaveros Personalizados Grupo iluminados</t>
  </si>
  <si>
    <t>Joni iluminados</t>
  </si>
  <si>
    <t>Sellos y cortantes</t>
  </si>
  <si>
    <t>Lauri</t>
  </si>
  <si>
    <t>Vaso Fernetero Texturizado 2025 650 ml personalizado</t>
  </si>
  <si>
    <t>Titi</t>
  </si>
  <si>
    <t>Figura Snoopy</t>
  </si>
  <si>
    <t>Noelia</t>
  </si>
  <si>
    <t>Copa del mundo Fernetera x2</t>
  </si>
  <si>
    <t>Ernesto</t>
  </si>
  <si>
    <t>Vasos Milkshake: Rumi guerreras k.pop y river</t>
  </si>
  <si>
    <t>Llaveros multifunción AFA River y Boca</t>
  </si>
  <si>
    <t>Monica Cooperativa</t>
  </si>
  <si>
    <t>Bookmarker personalizado</t>
  </si>
  <si>
    <t>Filamento: dorado grilon + rojo 3n3 + azul silk gst</t>
  </si>
  <si>
    <t>Filamento: dulce de leche grilon + gris plomo 3n3</t>
  </si>
  <si>
    <t>Vasos Ferneteros Texturizados 2025 1 lt personalizados</t>
  </si>
  <si>
    <t>Cristian Galeria</t>
  </si>
  <si>
    <t>Llaveros personalizados Puro Vida</t>
  </si>
  <si>
    <t>Yesica Arizaga</t>
  </si>
  <si>
    <t>Vaso Fernetero Texturizado 2025 650 ml San Expedito</t>
  </si>
  <si>
    <t>Filamentos: blanco + rojo 3n3</t>
  </si>
  <si>
    <t>Nea 3d</t>
  </si>
  <si>
    <t>Vaso Ferchetto Botella cortada de Boca azul</t>
  </si>
  <si>
    <t>Grafica</t>
  </si>
  <si>
    <t>Vaso Fernetero Liso 2025 650 ml personalizado</t>
  </si>
  <si>
    <t>Arnaldo</t>
  </si>
  <si>
    <t>Vaso Fernetero Texturizado 2025 1 lt San Benito</t>
  </si>
  <si>
    <t>Vaso Ferchetto Botella cortada de River negro</t>
  </si>
  <si>
    <t>Bea amiga de mami</t>
  </si>
  <si>
    <t>Exhibidor de alias</t>
  </si>
  <si>
    <t xml:space="preserve">Portalatas personalizados </t>
  </si>
  <si>
    <t>4to Set</t>
  </si>
  <si>
    <t>mitad efectivo mitad transferencia</t>
  </si>
  <si>
    <t>Vaso Milkshake Guerreras K-Pop Rumi</t>
  </si>
  <si>
    <t>Angel</t>
  </si>
  <si>
    <t>Soportes varios de escritorio y pared</t>
  </si>
  <si>
    <t>Ceci</t>
  </si>
  <si>
    <t>Vaso Fernetero Liso 2025 650 ml River negro</t>
  </si>
  <si>
    <t>Andrea Lezcano</t>
  </si>
  <si>
    <t>Vaso Fernetero Clásico 650 ml UPDR negro</t>
  </si>
  <si>
    <t>Carterita Diablo Viste a la moda</t>
  </si>
  <si>
    <t>VENTAS MARZO 2026</t>
  </si>
  <si>
    <t>Vaso Fernetero Texturizado 2025 1lt Arabera y Sapucay</t>
  </si>
  <si>
    <t>Cristian Nahuel</t>
  </si>
  <si>
    <t>Vaso Fernetero Texturizado 2026 1lt Mandiyu</t>
  </si>
  <si>
    <t>Vaso Fernetero Texturizado 2026 1lt Afa negro</t>
  </si>
  <si>
    <t>Sebastian</t>
  </si>
  <si>
    <t>Vaso Fernetero Texturizado 2025 1lt River negro</t>
  </si>
  <si>
    <t>Claudia Vidal</t>
  </si>
  <si>
    <t>se mandó a rio negro</t>
  </si>
  <si>
    <t>Vasos Ferneteros Texturizado 2025 1 lt Mandiyu, Racing, Independiente,etc</t>
  </si>
  <si>
    <t>Vaso Milkshake Mono Bostero</t>
  </si>
  <si>
    <t>Vasos Milkshake de Mario Bros (todos los personajes)</t>
  </si>
  <si>
    <t>Festin Cotillon</t>
  </si>
  <si>
    <t>40 en transferencia 100 en efectivo</t>
  </si>
  <si>
    <t>Portalatas River negro</t>
  </si>
  <si>
    <t>Matias Portela</t>
  </si>
  <si>
    <t>Vaso Fernetero Texturizado 2025 650 ml River negro</t>
  </si>
  <si>
    <t>Topper Cake de Flork</t>
  </si>
  <si>
    <t>Adrian Celis</t>
  </si>
  <si>
    <t>Vaso Fernetero Texturizado 2025 1 lt Arabera</t>
  </si>
  <si>
    <t>Daniel Balbi</t>
  </si>
  <si>
    <t xml:space="preserve">Portalatas AFA </t>
  </si>
  <si>
    <t>Liga Padel</t>
  </si>
  <si>
    <t>Yvan Aguirre</t>
  </si>
  <si>
    <t>Rober</t>
  </si>
  <si>
    <t>Vaso Fernetero Texturizado 2025 1lt Boca</t>
  </si>
  <si>
    <t>Vaso Fernetero Texturizado 2026 1lt Personalizado</t>
  </si>
  <si>
    <t>Grupo Iluminados</t>
  </si>
  <si>
    <t>Huevo Golosinero de River</t>
  </si>
  <si>
    <t>Nahir</t>
  </si>
  <si>
    <t>Camarita de seguridad fake</t>
  </si>
  <si>
    <t>Walter Ramirez</t>
  </si>
  <si>
    <t>Vasos Ferneteros Texturizado 2025 1 lt River, Independiente, Hockey y Mono</t>
  </si>
  <si>
    <t>15% de descuento por comprador fiel</t>
  </si>
  <si>
    <t>Refrigeraciones Polar</t>
  </si>
  <si>
    <t>Huevo Golosinero Kuromi</t>
  </si>
  <si>
    <t>Anita Oliva</t>
  </si>
  <si>
    <t>Figura coleccionable Capibara 17 cm</t>
  </si>
  <si>
    <t>Silvi Lopez</t>
  </si>
  <si>
    <t>Agustina Solis</t>
  </si>
  <si>
    <t>Vaso Milkshake Guerreras K-pop</t>
  </si>
  <si>
    <t>Trofeos Personalizados + 4 Medallas</t>
  </si>
  <si>
    <t>Floyd Padel Center</t>
  </si>
  <si>
    <t>Vaso Fernetero Texturizado 2025 650 AFA</t>
  </si>
  <si>
    <t>Cintia Stella Maris</t>
  </si>
  <si>
    <t>Portalatas personalizados</t>
  </si>
  <si>
    <t>Hermana de Maxi</t>
  </si>
  <si>
    <t>Portalatas Arabera</t>
  </si>
  <si>
    <t>Daniel Carlos</t>
  </si>
  <si>
    <t>Huevo Golosinero Mira Guerreras K-pop</t>
  </si>
  <si>
    <t>Iriana</t>
  </si>
  <si>
    <t>Joanna Mancuello</t>
  </si>
  <si>
    <t>Bel</t>
  </si>
  <si>
    <t>Playmovil estantes</t>
  </si>
  <si>
    <t>Jorge Patricio</t>
  </si>
  <si>
    <t>VENTAS ENERO 2026</t>
  </si>
  <si>
    <t xml:space="preserve">Vaso Fernetero Texturizado 500 ml </t>
  </si>
  <si>
    <t>Ailin</t>
  </si>
  <si>
    <t>-</t>
  </si>
  <si>
    <t>Silvana</t>
  </si>
  <si>
    <t>Aymara</t>
  </si>
  <si>
    <t>Moldes para cascada y hornito</t>
  </si>
  <si>
    <t>Marcela</t>
  </si>
  <si>
    <t>Ana</t>
  </si>
  <si>
    <t>Erika</t>
  </si>
  <si>
    <t>Vaso Fernetero Texturizado 1 lt</t>
  </si>
  <si>
    <t>Luizito</t>
  </si>
  <si>
    <t xml:space="preserve">Filamentos: PETG x3 </t>
  </si>
  <si>
    <t>Cliente x</t>
  </si>
  <si>
    <t>Numberblocks muñecos</t>
  </si>
  <si>
    <t>Vaso milkshake x3</t>
  </si>
  <si>
    <t>Muñeco Fozzie y Miku</t>
  </si>
  <si>
    <t>yazmin</t>
  </si>
  <si>
    <t>Vaso Fernetero Texturizado 2026 1lt Atletico Canal 13</t>
  </si>
  <si>
    <t xml:space="preserve">Cristian  </t>
  </si>
  <si>
    <t xml:space="preserve">Vaso Fernetero Texturizado Personalizado 500 ml </t>
  </si>
  <si>
    <t>Mati Barreto</t>
  </si>
  <si>
    <t>Mate de Terere UPDR</t>
  </si>
  <si>
    <t>Sol</t>
  </si>
  <si>
    <t>Vaso Fernetero Texturizado 2026 1lt Depotivo Kako</t>
  </si>
  <si>
    <t>Kako</t>
  </si>
  <si>
    <t>Padel Floyd Center</t>
  </si>
  <si>
    <t>Vasos Fernentero Texturizados 2026 1 lt varios</t>
  </si>
  <si>
    <t>10% de descuento</t>
  </si>
  <si>
    <t>Vaso Fernetero Clasico 1 lt Un Poco de Chisme</t>
  </si>
  <si>
    <t>Vaso Fernetero Texturizado 2025 500 ml Boca grilon</t>
  </si>
  <si>
    <t>Vaso Fernetero Texturizado 2026 1lt Boca silk</t>
  </si>
  <si>
    <t>Luis Aguirre</t>
  </si>
  <si>
    <t>Vaso Fernetero Texurizado 2025 500 ml River rojo</t>
  </si>
  <si>
    <t>Nancy Choco</t>
  </si>
  <si>
    <t>Vaso milkshake chicas</t>
  </si>
  <si>
    <t>paola batalla</t>
  </si>
  <si>
    <t>Vaso Milkshake Chimuelo</t>
  </si>
  <si>
    <t>Vaso Fernetero Texturizado 2026 1lt Independiente</t>
  </si>
  <si>
    <t>Vaso Fernentero Texturizado 2025 500 ml River</t>
  </si>
  <si>
    <t>Julio Luque</t>
  </si>
  <si>
    <t>Vaso Fernetero Texturizado 2025 500 ml San Expedito</t>
  </si>
  <si>
    <t>Layla</t>
  </si>
  <si>
    <t>Vaso Fernetero Texturizado 2026 1lt River Negro</t>
  </si>
  <si>
    <t>Emi</t>
  </si>
  <si>
    <t>Vaso Fernetero Texturizado 2026 1 lt River Rojo</t>
  </si>
  <si>
    <t>Vaso Fernetero Texturizado 2025 500 ml Boca azul silk</t>
  </si>
  <si>
    <t>Vaso Fernetero Texturizado 2026 1 lt River Negro</t>
  </si>
  <si>
    <t>Vaso Fernetero Texturizado 2025 500 ml Tini</t>
  </si>
  <si>
    <t>Teresita Vignolo</t>
  </si>
  <si>
    <t>Trofeos de Padel Maravive</t>
  </si>
  <si>
    <t>Maravive Padel</t>
  </si>
  <si>
    <t>Vaso Fernetero Clasico 500 ml Duff</t>
  </si>
  <si>
    <t>Silvi</t>
  </si>
  <si>
    <t>Vasos Fernentero Clasico y Texturizados varios</t>
  </si>
  <si>
    <t>Marce Paso de la Patria</t>
  </si>
  <si>
    <t>Muñecos Brainrot</t>
  </si>
  <si>
    <t>Nico Gimnasio</t>
  </si>
  <si>
    <t>Vaso Fernentero Texturizado 2025 500 ml Un Poco de Ruido</t>
  </si>
  <si>
    <t>Eduardo Chineli</t>
  </si>
  <si>
    <t>Vaso Milkshake Guerreras K-Pop</t>
  </si>
  <si>
    <t>Pily Chavez</t>
  </si>
  <si>
    <t>Veronica Soledad</t>
  </si>
  <si>
    <t>Vaso Fernentero Texturizado 2025 500 ml Boca grilon y police</t>
  </si>
  <si>
    <t>Micaela Sosa</t>
  </si>
  <si>
    <t>Vaso Fernetero Texturizado 2026 1 lt San Lorenzo</t>
  </si>
  <si>
    <t>Llaveros Personalizados de ferrari, redbull, etc</t>
  </si>
  <si>
    <t>Euge Slootmans</t>
  </si>
  <si>
    <t>Vaso Fernentero Texturizado 2025 500 ml Hello Kitty</t>
  </si>
  <si>
    <t>Hugo Fernandez</t>
  </si>
  <si>
    <t>Vaso Fernetero Texturizado 2026 1 lt Boca azul 3n3</t>
  </si>
  <si>
    <t>Muñeco articulado Demogorgon</t>
  </si>
  <si>
    <t>Vaso Fernetero Texturizado 2025 1 lt Conections</t>
  </si>
  <si>
    <t>Chinguen</t>
  </si>
  <si>
    <t>Vaso Fernentero Texturizado 2025 500 ml Boca grilon</t>
  </si>
  <si>
    <t>Natalia</t>
  </si>
  <si>
    <t>Vaso Fernentero Texturizado 2025 500 ml River negro</t>
  </si>
  <si>
    <t>Emii Ramirez</t>
  </si>
  <si>
    <t>Vaso Milkshake Vecna</t>
  </si>
  <si>
    <t>Mariela Soto</t>
  </si>
  <si>
    <t>Filamentos: negro y gris plomo 3n3</t>
  </si>
  <si>
    <t>Vaso Fernentero Texturizado 2026 1lt Boca silk</t>
  </si>
  <si>
    <t>El pato</t>
  </si>
  <si>
    <t xml:space="preserve">Vaso Fernetero Texturizado 2025 1 lt boca </t>
  </si>
  <si>
    <t>Mariano</t>
  </si>
  <si>
    <t>Vaso Fernentero Clasico 1 lt Un poco de ruido</t>
  </si>
  <si>
    <t>Vaso Fernetero Texturizado 2025 500 ml Vino con Sprite</t>
  </si>
  <si>
    <t>Ariel</t>
  </si>
  <si>
    <t>Vaso Fernetero Texturizado 2026 1 lt Boca grilon</t>
  </si>
  <si>
    <t>Vaso Fernentero Texturizado 2026 1lt River rojo</t>
  </si>
  <si>
    <t>Yanina Disanto</t>
  </si>
  <si>
    <t>Vaso Fernetero Clasico 500 ml Un poco de ruido</t>
  </si>
  <si>
    <t>Astrid</t>
  </si>
  <si>
    <t xml:space="preserve">Llaveros personalizados  </t>
  </si>
  <si>
    <t>Muñeco demogorgon</t>
  </si>
  <si>
    <t>Vaso Fernetero Clasico 500 ml Mandiyu</t>
  </si>
  <si>
    <t>Bruno Ramirez</t>
  </si>
  <si>
    <t>Vaso Fernentero Texturizado 2025 500 ml San Expedito</t>
  </si>
  <si>
    <t>Vaso Fernetero Texturizado 2025 1 lt Arabera rojo</t>
  </si>
  <si>
    <t>Vaso Fernetero Texturizado 2025 1 lt Arabera negro</t>
  </si>
  <si>
    <t>Augusto Fabian</t>
  </si>
  <si>
    <t>Agustina</t>
  </si>
  <si>
    <t>Vaso Fernetero Texturizado 2026 1 lt Messi</t>
  </si>
  <si>
    <t>Lucas GImnasio</t>
  </si>
  <si>
    <t>Vaso Fernetero Texturizado 2026 1 lt Boca silk</t>
  </si>
  <si>
    <t>Vane Pacheco</t>
  </si>
  <si>
    <t>Vaso Fernentero Texturizado 2025 500 ml varios</t>
  </si>
  <si>
    <t>Marcelo del Paso</t>
  </si>
  <si>
    <t>Matecitos de Un poco de ruido</t>
  </si>
  <si>
    <t>Estantes para Hot Wheels</t>
  </si>
  <si>
    <t>Elias Karothy</t>
  </si>
  <si>
    <t>Pantera</t>
  </si>
  <si>
    <t>Vaso Fernetero Texturizado 2025 1 lt Sapucay</t>
  </si>
  <si>
    <t>Vaso Fernentero Texturizado 2025 500 ml Boca silk</t>
  </si>
  <si>
    <t>Vaso Fernentero Texturizado 2025 500 ml Arabera rojo</t>
  </si>
  <si>
    <t>Vaso Fernentero Texturizado 2025 500 ml SorpresA</t>
  </si>
  <si>
    <t>Rocio</t>
  </si>
  <si>
    <t>Vaso Fernentero Texturizado 2025 500 ml Sapucay</t>
  </si>
  <si>
    <t>Joauqin amigo Tia Guadalupe</t>
  </si>
  <si>
    <t>filamento 3n3 blanco</t>
  </si>
  <si>
    <t>joaquin frutos</t>
  </si>
  <si>
    <t>Matecito Teixido</t>
  </si>
  <si>
    <t>Clara Merlo</t>
  </si>
  <si>
    <t>Maxi</t>
  </si>
  <si>
    <t>Filamentos: piel 162 + blanco</t>
  </si>
  <si>
    <t xml:space="preserve">Joaquin  </t>
  </si>
  <si>
    <t>Vaso Fernentero Texturizado 2025 500 ml Messi</t>
  </si>
  <si>
    <t>Camila Soria</t>
  </si>
  <si>
    <t>Vaso Fernentero Texturizado 2025 500 ml Independiente</t>
  </si>
  <si>
    <t>Borusia</t>
  </si>
  <si>
    <t>Filamentos: rosa y rojo 3n3</t>
  </si>
  <si>
    <t>Florencia</t>
  </si>
  <si>
    <t>Vaso Botella Cortada 500 ml Boca y River</t>
  </si>
  <si>
    <t>Vaso Fernentero Texturizado 2025 500 ml Universidad del Sonido</t>
  </si>
  <si>
    <t>Lilian Rios</t>
  </si>
  <si>
    <t>Vaso Fernetero Texturizado 2026 1 lt Personalizado</t>
  </si>
  <si>
    <t>Chino</t>
  </si>
  <si>
    <t>Vaso Fernetero Texturizado 2026 1 lt Samba Total</t>
  </si>
  <si>
    <t>Maury Gonzalez</t>
  </si>
  <si>
    <t>Indicadores clave</t>
  </si>
  <si>
    <t>Pedidos totales</t>
  </si>
  <si>
    <t>Pedidos entregados</t>
  </si>
  <si>
    <t>Señas pendientes</t>
  </si>
  <si>
    <t>Ventas totales ($)</t>
  </si>
  <si>
    <t>compra impresoras</t>
  </si>
  <si>
    <t>ORDEN</t>
  </si>
  <si>
    <t>marca / modelo</t>
  </si>
  <si>
    <t>Seguimiento</t>
  </si>
  <si>
    <t>N°403321</t>
  </si>
  <si>
    <t>a1 combo + mini combo</t>
  </si>
  <si>
    <t xml:space="preserve">a1 combo </t>
  </si>
  <si>
    <t>000076624813T93IP061301</t>
  </si>
  <si>
    <t>filamentos</t>
  </si>
  <si>
    <t xml:space="preserve">filamentos </t>
  </si>
  <si>
    <t>a1 mini</t>
  </si>
  <si>
    <t xml:space="preserve">Anycubic resina x2 </t>
  </si>
  <si>
    <t>a1 combo + resina</t>
  </si>
  <si>
    <r>
      <rPr>
        <rFont val="Lexend"/>
        <b/>
        <color theme="1"/>
        <sz val="18.0"/>
      </rPr>
      <t xml:space="preserve">3N3 PLA </t>
    </r>
    <r>
      <rPr>
        <rFont val="Lexend"/>
        <b/>
        <color theme="1"/>
        <sz val="11.0"/>
      </rPr>
      <t>1kg</t>
    </r>
  </si>
  <si>
    <r>
      <rPr>
        <rFont val="Lexend"/>
        <b/>
        <color theme="1"/>
        <sz val="18.0"/>
      </rPr>
      <t>Grilon3 PLA</t>
    </r>
    <r>
      <rPr>
        <rFont val="Lexend"/>
        <b/>
        <color theme="1"/>
        <sz val="14.0"/>
      </rPr>
      <t xml:space="preserve"> </t>
    </r>
    <r>
      <rPr>
        <rFont val="Lexend"/>
        <b/>
        <color theme="1"/>
        <sz val="11.0"/>
      </rPr>
      <t>1kg</t>
    </r>
  </si>
  <si>
    <r>
      <rPr>
        <rFont val="Lexend"/>
        <b/>
        <color theme="1"/>
        <sz val="18.0"/>
      </rPr>
      <t xml:space="preserve">GST3D PLA </t>
    </r>
    <r>
      <rPr>
        <rFont val="Lexend"/>
        <b/>
        <color theme="1"/>
        <sz val="11.0"/>
      </rPr>
      <t>1 kg</t>
    </r>
  </si>
  <si>
    <t>$</t>
  </si>
  <si>
    <t>Blanco</t>
  </si>
  <si>
    <t>Black</t>
  </si>
  <si>
    <t>lite</t>
  </si>
  <si>
    <t>White</t>
  </si>
  <si>
    <t>Rojo</t>
  </si>
  <si>
    <t>Gris Plata</t>
  </si>
  <si>
    <t>Sky blue</t>
  </si>
  <si>
    <t>Azul</t>
  </si>
  <si>
    <t>Gris Espacial</t>
  </si>
  <si>
    <t>Red</t>
  </si>
  <si>
    <t>Amarillo</t>
  </si>
  <si>
    <t xml:space="preserve">Amarillo  </t>
  </si>
  <si>
    <t>Gold</t>
  </si>
  <si>
    <t>Amarillo Fluo</t>
  </si>
  <si>
    <t xml:space="preserve">Rojo   </t>
  </si>
  <si>
    <t>Gold Silk</t>
  </si>
  <si>
    <t>Gris Plomo</t>
  </si>
  <si>
    <t>Blue Silk</t>
  </si>
  <si>
    <t>Gris Acero</t>
  </si>
  <si>
    <t>Violeta</t>
  </si>
  <si>
    <t>Silver</t>
  </si>
  <si>
    <t>Verde</t>
  </si>
  <si>
    <t>Tricolor Silk Red Gold Orange Fluo</t>
  </si>
  <si>
    <t>Verde Fluo</t>
  </si>
  <si>
    <t>Verde Manzana</t>
  </si>
  <si>
    <t>Naranja</t>
  </si>
  <si>
    <t>Rosa</t>
  </si>
  <si>
    <r>
      <rPr>
        <rFont val="Lexend"/>
        <b/>
        <color theme="1"/>
        <sz val="18.0"/>
      </rPr>
      <t xml:space="preserve">FILA NOVA PLA </t>
    </r>
    <r>
      <rPr>
        <rFont val="Lexend"/>
        <b/>
        <color theme="1"/>
        <sz val="10.0"/>
      </rPr>
      <t>1kg</t>
    </r>
  </si>
  <si>
    <t>Fucsia</t>
  </si>
  <si>
    <t>Police Blue</t>
  </si>
  <si>
    <t>Gold World Cup</t>
  </si>
  <si>
    <t>Turqueza</t>
  </si>
  <si>
    <t>Azul Prusia</t>
  </si>
  <si>
    <r>
      <rPr>
        <rFont val="Lexend"/>
        <b/>
        <color theme="1"/>
        <sz val="18.0"/>
      </rPr>
      <t xml:space="preserve">FREEMOVER PLA </t>
    </r>
    <r>
      <rPr>
        <rFont val="Lexend"/>
        <b/>
        <color theme="1"/>
        <sz val="11.0"/>
      </rPr>
      <t>1kg</t>
    </r>
  </si>
  <si>
    <t>Hueso</t>
  </si>
  <si>
    <t>Bordo</t>
  </si>
  <si>
    <t>Tricolor Silk Rose Red Green</t>
  </si>
  <si>
    <t>Rústico</t>
  </si>
  <si>
    <t>Dorado</t>
  </si>
  <si>
    <t>Bicolor Silk Black Purple</t>
  </si>
  <si>
    <t>Habano</t>
  </si>
  <si>
    <t>Bronce</t>
  </si>
  <si>
    <t>Matte Graphe Purple</t>
  </si>
  <si>
    <t>Oro</t>
  </si>
  <si>
    <t>Cobre</t>
  </si>
  <si>
    <t>Earth Brown</t>
  </si>
  <si>
    <t>Matte Lavender</t>
  </si>
  <si>
    <t>Magenta fluo</t>
  </si>
  <si>
    <t>Esmeral</t>
  </si>
  <si>
    <t>Naranja Fluo</t>
  </si>
  <si>
    <t>Lave Orange</t>
  </si>
  <si>
    <r>
      <rPr>
        <rFont val="Lexend"/>
        <b/>
        <color theme="1"/>
        <sz val="18.0"/>
      </rPr>
      <t xml:space="preserve">3nMax PLA </t>
    </r>
    <r>
      <rPr>
        <rFont val="Lexend"/>
        <b/>
        <color theme="1"/>
        <sz val="11.0"/>
      </rPr>
      <t>1kg</t>
    </r>
  </si>
  <si>
    <t>Piel 162</t>
  </si>
  <si>
    <t>Piel 720</t>
  </si>
  <si>
    <r>
      <rPr>
        <rFont val="Lexend"/>
        <b/>
        <color theme="1"/>
        <sz val="18.0"/>
      </rPr>
      <t xml:space="preserve">BAMBU LAB PLA </t>
    </r>
    <r>
      <rPr>
        <rFont val="Lexend"/>
        <b/>
        <color theme="1"/>
        <sz val="11.0"/>
      </rPr>
      <t>1kg</t>
    </r>
  </si>
  <si>
    <t>Beige</t>
  </si>
  <si>
    <r>
      <rPr>
        <rFont val="Lexend"/>
        <b/>
        <color theme="1"/>
        <sz val="18.0"/>
      </rPr>
      <t>Grilon3 PLA</t>
    </r>
    <r>
      <rPr>
        <rFont val="Lexend"/>
        <b/>
        <color theme="1"/>
        <sz val="14.0"/>
      </rPr>
      <t xml:space="preserve"> </t>
    </r>
    <r>
      <rPr>
        <rFont val="Lexend"/>
        <b/>
        <color theme="1"/>
        <sz val="11.0"/>
      </rPr>
      <t>1kg</t>
    </r>
  </si>
  <si>
    <t>Dorado Silk</t>
  </si>
  <si>
    <t>Platino Silk</t>
  </si>
  <si>
    <t>Blanco Perla Silk</t>
  </si>
  <si>
    <t>Tutti Frutti Silk</t>
  </si>
  <si>
    <t>Chocolate Boutique</t>
  </si>
  <si>
    <t>Lila</t>
  </si>
  <si>
    <t>Dulce de leche Boutique</t>
  </si>
  <si>
    <t>Uva</t>
  </si>
  <si>
    <t>Salmon Boutique</t>
  </si>
  <si>
    <t>Chocolate</t>
  </si>
  <si>
    <t>Carpincho</t>
  </si>
  <si>
    <t>Caoba Wood</t>
  </si>
  <si>
    <t>Cerezo Wood</t>
  </si>
  <si>
    <t>3n3 PETG</t>
  </si>
  <si>
    <t>Nogal Wood</t>
  </si>
  <si>
    <t>Pino Wood</t>
  </si>
  <si>
    <r>
      <rPr>
        <rFont val="Lexend"/>
        <b/>
        <color theme="1"/>
        <sz val="18.0"/>
      </rPr>
      <t>Grilon3 PETG</t>
    </r>
    <r>
      <rPr>
        <rFont val="Lexend"/>
        <b/>
        <color theme="1"/>
        <sz val="14.0"/>
      </rPr>
      <t xml:space="preserve"> </t>
    </r>
    <r>
      <rPr>
        <rFont val="Lexend"/>
        <b/>
        <color theme="1"/>
        <sz val="11.0"/>
      </rPr>
      <t>1kg</t>
    </r>
  </si>
  <si>
    <t xml:space="preserve">Blanco   </t>
  </si>
  <si>
    <t>Nova</t>
  </si>
  <si>
    <t>Natural</t>
  </si>
  <si>
    <t>Rojo Clear</t>
  </si>
  <si>
    <t>Amarillo Clear</t>
  </si>
  <si>
    <t>Verde Clear</t>
  </si>
  <si>
    <t>Azul Clear</t>
  </si>
  <si>
    <t>Amba Clear</t>
  </si>
  <si>
    <t>GASTOS JULIO GLOBAL 3D</t>
  </si>
  <si>
    <t>GASTOS JULIO CASA Y VALENTINO</t>
  </si>
  <si>
    <t xml:space="preserve">GASTOS PERSONALES </t>
  </si>
  <si>
    <t>Alquiler</t>
  </si>
  <si>
    <t>Tarjeta de Banco de Ctes</t>
  </si>
  <si>
    <t>Joaquin</t>
  </si>
  <si>
    <t>Internet de casa</t>
  </si>
  <si>
    <t>Muebles</t>
  </si>
  <si>
    <t>Luz de casa</t>
  </si>
  <si>
    <t>SnapMaker</t>
  </si>
  <si>
    <t>Agua de casa</t>
  </si>
  <si>
    <t>Internet</t>
  </si>
  <si>
    <t>Gustavo Luz</t>
  </si>
  <si>
    <t>Habilitación</t>
  </si>
  <si>
    <t>Roxana (total x mes)</t>
  </si>
  <si>
    <t>Banner de piso</t>
  </si>
  <si>
    <t xml:space="preserve">PENDIENTES </t>
  </si>
  <si>
    <t>Comprar un cuaderno/anotador</t>
  </si>
  <si>
    <t>Comprar tira led frio/calido para el cartel de Beto y para poner en el local</t>
  </si>
  <si>
    <t>Hacer el cartel para poner en el local</t>
  </si>
  <si>
    <t>Hacer esquelitas para cada producto de la vidriera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</si>
</sst>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d/m"/>
    <numFmt numFmtId="166" formatCode="[$$]          #,##0.00"/>
    <numFmt numFmtId="167" formatCode="d/m/yyyy"/>
    <numFmt numFmtId="168" formatCode="[$ $]#,##0.00"/>
  </numFmts>
  <fonts count="22">
    <font>
      <sz val="11.0"/>
      <color theme="1"/>
      <name val="Calibri"/>
      <scheme val="minor"/>
    </font>
    <font>
      <b/>
      <sz val="14.0"/>
      <color theme="1"/>
      <name val="Droid Sans"/>
    </font>
    <font>
      <sz val="14.0"/>
      <color theme="1"/>
      <name val="Droid Sans"/>
    </font>
    <font>
      <sz val="11.0"/>
      <color theme="1"/>
      <name val="Droid Sans"/>
    </font>
    <font>
      <color theme="1"/>
      <name val="Calibri"/>
      <scheme val="minor"/>
    </font>
    <font>
      <u/>
      <sz val="11.0"/>
      <color rgb="FF434343"/>
      <name val="Droid Sans"/>
    </font>
    <font>
      <sz val="11.0"/>
      <color rgb="FF000000"/>
      <name val="Arial"/>
    </font>
    <font>
      <sz val="11.0"/>
      <color theme="1"/>
      <name val="Arial"/>
    </font>
    <font>
      <sz val="11.0"/>
      <color rgb="FFF5F5F5"/>
      <name val="Arial"/>
    </font>
    <font>
      <b/>
      <sz val="27.0"/>
      <color theme="1"/>
      <name val="Lexend"/>
    </font>
    <font/>
    <font>
      <sz val="11.0"/>
      <color theme="1"/>
      <name val="Calibri"/>
    </font>
    <font>
      <b/>
      <sz val="16.0"/>
      <color theme="1"/>
      <name val="Lexend"/>
    </font>
    <font>
      <sz val="14.0"/>
      <color theme="1"/>
      <name val="Lexend"/>
    </font>
    <font>
      <b/>
      <sz val="14.0"/>
      <color theme="1"/>
      <name val="Lexend"/>
    </font>
    <font>
      <b/>
      <sz val="25.0"/>
      <color theme="1"/>
      <name val="Lexend"/>
    </font>
    <font>
      <sz val="11.0"/>
      <color theme="1"/>
      <name val="Lexend"/>
    </font>
    <font>
      <color theme="1"/>
      <name val="Lexend"/>
    </font>
    <font>
      <sz val="16.0"/>
      <color theme="1"/>
      <name val="Lexend"/>
    </font>
    <font>
      <b/>
      <sz val="11.0"/>
      <color rgb="FFFFFFFF"/>
      <name val="Calibri"/>
    </font>
    <font>
      <b/>
      <sz val="18.0"/>
      <color theme="1"/>
      <name val="Lexend"/>
    </font>
    <font>
      <sz val="17.0"/>
      <color theme="1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2F2F2"/>
        <bgColor rgb="FFF2F2F2"/>
      </patternFill>
    </fill>
    <fill>
      <patternFill patternType="solid">
        <fgColor rgb="FF4F81BD"/>
        <bgColor rgb="FF4F81B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9CBED"/>
        <bgColor rgb="FFF9CBED"/>
      </patternFill>
    </fill>
    <fill>
      <patternFill patternType="solid">
        <fgColor rgb="FF7692ED"/>
        <bgColor rgb="FF7692ED"/>
      </patternFill>
    </fill>
    <fill>
      <patternFill patternType="solid">
        <fgColor rgb="FF76A5AF"/>
        <bgColor rgb="FF76A5A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8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0"/>
    </xf>
    <xf borderId="1" fillId="0" fontId="2" numFmtId="8" xfId="0" applyAlignment="1" applyBorder="1" applyFont="1" applyNumberFormat="1">
      <alignment horizontal="center" shrinkToFit="0" vertical="center" wrapText="0"/>
    </xf>
    <xf borderId="1" fillId="0" fontId="2" numFmtId="8" xfId="0" applyAlignment="1" applyBorder="1" applyFont="1" applyNumberFormat="1">
      <alignment horizontal="center" readingOrder="0" shrinkToFit="0" vertical="center" wrapText="0"/>
    </xf>
    <xf borderId="0" fillId="0" fontId="2" numFmtId="8" xfId="0" applyAlignment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0"/>
    </xf>
    <xf borderId="0" fillId="2" fontId="2" numFmtId="8" xfId="0" applyAlignment="1" applyFont="1" applyNumberForma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0" fillId="3" fontId="3" numFmtId="0" xfId="0" applyAlignment="1" applyFont="1">
      <alignment horizontal="left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0"/>
    </xf>
    <xf borderId="0" fillId="3" fontId="2" numFmtId="8" xfId="0" applyAlignment="1" applyFont="1" applyNumberFormat="1">
      <alignment horizontal="center" readingOrder="0" shrinkToFit="0" vertical="center" wrapText="0"/>
    </xf>
    <xf borderId="0" fillId="0" fontId="2" numFmtId="8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4" fontId="3" numFmtId="0" xfId="0" applyAlignment="1" applyFont="1">
      <alignment horizontal="left" readingOrder="0" shrinkToFit="0" vertical="center" wrapText="1"/>
    </xf>
    <xf borderId="0" fillId="4" fontId="2" numFmtId="164" xfId="0" applyAlignment="1" applyFont="1" applyNumberFormat="1">
      <alignment horizontal="center" readingOrder="0" shrinkToFit="0" vertical="center" wrapText="0"/>
    </xf>
    <xf borderId="0" fillId="4" fontId="2" numFmtId="8" xfId="0" applyAlignment="1" applyFont="1" applyNumberFormat="1">
      <alignment horizontal="center"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4" fontId="2" numFmtId="8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8" xfId="0" applyAlignment="1" applyFont="1" applyNumberFormat="1">
      <alignment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1"/>
    </xf>
    <xf borderId="0" fillId="2" fontId="2" numFmtId="164" xfId="0" applyAlignment="1" applyFont="1" applyNumberFormat="1">
      <alignment readingOrder="0" shrinkToFit="0" vertical="center" wrapText="0"/>
    </xf>
    <xf borderId="0" fillId="2" fontId="2" numFmtId="8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5" fontId="2" numFmtId="0" xfId="0" applyAlignment="1" applyFill="1" applyFont="1">
      <alignment horizontal="center" readingOrder="0" shrinkToFit="0" vertical="center" wrapText="0"/>
    </xf>
    <xf borderId="0" fillId="5" fontId="2" numFmtId="0" xfId="0" applyAlignment="1" applyFont="1">
      <alignment horizontal="left" readingOrder="0" shrinkToFit="0" vertical="center" wrapText="0"/>
    </xf>
    <xf borderId="0" fillId="5" fontId="3" numFmtId="0" xfId="0" applyAlignment="1" applyFont="1">
      <alignment horizontal="left" readingOrder="0" shrinkToFit="0" vertical="center" wrapText="1"/>
    </xf>
    <xf borderId="0" fillId="5" fontId="2" numFmtId="164" xfId="0" applyAlignment="1" applyFont="1" applyNumberFormat="1">
      <alignment readingOrder="0" shrinkToFit="0" vertical="center" wrapText="0"/>
    </xf>
    <xf borderId="0" fillId="5" fontId="2" numFmtId="8" xfId="0" applyAlignment="1" applyFont="1" applyNumberForma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left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0"/>
    </xf>
    <xf borderId="0" fillId="2" fontId="2" numFmtId="8" xfId="0" applyAlignment="1" applyFont="1" applyNumberFormat="1">
      <alignment horizontal="center" readingOrder="0" shrinkToFit="0" vertical="center" wrapText="0"/>
    </xf>
    <xf borderId="0" fillId="2" fontId="2" numFmtId="8" xfId="0" applyAlignment="1" applyFont="1" applyNumberForma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6" fontId="2" numFmtId="0" xfId="0" applyAlignment="1" applyFill="1" applyFont="1">
      <alignment horizontal="center" readingOrder="0" shrinkToFit="0" vertical="center" wrapText="0"/>
    </xf>
    <xf borderId="0" fillId="6" fontId="2" numFmtId="0" xfId="0" applyAlignment="1" applyFont="1">
      <alignment horizontal="left" readingOrder="0" shrinkToFit="0" vertical="center" wrapText="0"/>
    </xf>
    <xf borderId="0" fillId="6" fontId="3" numFmtId="0" xfId="0" applyAlignment="1" applyFont="1">
      <alignment horizontal="left" readingOrder="0" shrinkToFit="0" vertical="center" wrapText="1"/>
    </xf>
    <xf borderId="0" fillId="6" fontId="2" numFmtId="164" xfId="0" applyAlignment="1" applyFont="1" applyNumberFormat="1">
      <alignment readingOrder="0" shrinkToFit="0" vertical="center" wrapText="0"/>
    </xf>
    <xf borderId="0" fillId="6" fontId="2" numFmtId="8" xfId="0" applyAlignment="1" applyFont="1" applyNumberForma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8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7" fontId="2" numFmtId="0" xfId="0" applyAlignment="1" applyFill="1" applyFont="1">
      <alignment horizontal="center" readingOrder="0" shrinkToFit="0" vertical="center" wrapText="0"/>
    </xf>
    <xf borderId="0" fillId="7" fontId="2" numFmtId="0" xfId="0" applyAlignment="1" applyFont="1">
      <alignment horizontal="left" readingOrder="0" shrinkToFit="0" vertical="center" wrapText="0"/>
    </xf>
    <xf borderId="0" fillId="7" fontId="4" numFmtId="0" xfId="0" applyAlignment="1" applyFont="1">
      <alignment readingOrder="0" shrinkToFit="0" vertical="center" wrapText="0"/>
    </xf>
    <xf borderId="0" fillId="7" fontId="2" numFmtId="164" xfId="0" applyAlignment="1" applyFont="1" applyNumberFormat="1">
      <alignment readingOrder="0" shrinkToFit="0" vertical="center" wrapText="0"/>
    </xf>
    <xf borderId="0" fillId="7" fontId="2" numFmtId="8" xfId="0" applyAlignment="1" applyFont="1" applyNumberForma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6" fontId="4" numFmtId="0" xfId="0" applyAlignment="1" applyFon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8" fontId="2" numFmtId="0" xfId="0" applyAlignment="1" applyFill="1" applyFont="1">
      <alignment horizontal="center" readingOrder="0" shrinkToFit="0" vertical="center" wrapText="0"/>
    </xf>
    <xf borderId="0" fillId="8" fontId="2" numFmtId="0" xfId="0" applyAlignment="1" applyFont="1">
      <alignment horizontal="left" readingOrder="0" shrinkToFit="0" vertical="center" wrapText="0"/>
    </xf>
    <xf borderId="0" fillId="8" fontId="4" numFmtId="0" xfId="0" applyAlignment="1" applyFont="1">
      <alignment readingOrder="0" shrinkToFit="0" vertical="center" wrapText="0"/>
    </xf>
    <xf borderId="0" fillId="8" fontId="2" numFmtId="164" xfId="0" applyAlignment="1" applyFont="1" applyNumberFormat="1">
      <alignment readingOrder="0" shrinkToFit="0" vertical="center" wrapText="0"/>
    </xf>
    <xf borderId="0" fillId="8" fontId="2" numFmtId="8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8" xfId="0" applyAlignment="1" applyFont="1" applyNumberFormat="1">
      <alignment horizontal="center" vertical="center"/>
    </xf>
    <xf borderId="2" fillId="9" fontId="9" numFmtId="0" xfId="0" applyAlignment="1" applyBorder="1" applyFill="1" applyFont="1">
      <alignment horizontal="center" readingOrder="0" vertical="bottom"/>
    </xf>
    <xf borderId="3" fillId="0" fontId="10" numFmtId="0" xfId="0" applyBorder="1" applyFont="1"/>
    <xf borderId="4" fillId="0" fontId="10" numFmtId="0" xfId="0" applyBorder="1" applyFont="1"/>
    <xf borderId="0" fillId="0" fontId="11" numFmtId="0" xfId="0" applyAlignment="1" applyFont="1">
      <alignment vertical="bottom"/>
    </xf>
    <xf borderId="5" fillId="10" fontId="12" numFmtId="0" xfId="0" applyAlignment="1" applyBorder="1" applyFill="1" applyFont="1">
      <alignment horizontal="center" vertical="bottom"/>
    </xf>
    <xf borderId="6" fillId="10" fontId="12" numFmtId="0" xfId="0" applyAlignment="1" applyBorder="1" applyFont="1">
      <alignment horizontal="center" vertical="bottom"/>
    </xf>
    <xf borderId="7" fillId="10" fontId="12" numFmtId="0" xfId="0" applyAlignment="1" applyBorder="1" applyFont="1">
      <alignment horizontal="center" vertical="bottom"/>
    </xf>
    <xf borderId="1" fillId="10" fontId="12" numFmtId="0" xfId="0" applyAlignment="1" applyBorder="1" applyFont="1">
      <alignment horizontal="center" vertical="bottom"/>
    </xf>
    <xf borderId="1" fillId="10" fontId="12" numFmtId="0" xfId="0" applyAlignment="1" applyBorder="1" applyFont="1">
      <alignment horizontal="center" vertical="bottom"/>
    </xf>
    <xf borderId="0" fillId="11" fontId="11" numFmtId="165" xfId="0" applyAlignment="1" applyFill="1" applyFont="1" applyNumberFormat="1">
      <alignment vertical="bottom"/>
    </xf>
    <xf borderId="0" fillId="11" fontId="11" numFmtId="0" xfId="0" applyAlignment="1" applyFont="1">
      <alignment vertical="bottom"/>
    </xf>
    <xf borderId="1" fillId="0" fontId="13" numFmtId="164" xfId="0" applyAlignment="1" applyBorder="1" applyFont="1" applyNumberFormat="1">
      <alignment horizontal="center" readingOrder="0" vertical="bottom"/>
    </xf>
    <xf borderId="1" fillId="11" fontId="13" numFmtId="0" xfId="0" applyAlignment="1" applyBorder="1" applyFont="1">
      <alignment readingOrder="0" vertical="bottom"/>
    </xf>
    <xf borderId="1" fillId="11" fontId="13" numFmtId="0" xfId="0" applyAlignment="1" applyBorder="1" applyFont="1">
      <alignment horizontal="center" readingOrder="0" vertical="bottom"/>
    </xf>
    <xf borderId="1" fillId="11" fontId="14" numFmtId="166" xfId="0" applyAlignment="1" applyBorder="1" applyFont="1" applyNumberFormat="1">
      <alignment horizontal="center" readingOrder="0" vertical="bottom"/>
    </xf>
    <xf borderId="1" fillId="11" fontId="11" numFmtId="49" xfId="0" applyAlignment="1" applyBorder="1" applyFont="1" applyNumberFormat="1">
      <alignment vertical="bottom"/>
    </xf>
    <xf borderId="1" fillId="12" fontId="13" numFmtId="0" xfId="0" applyAlignment="1" applyBorder="1" applyFill="1" applyFont="1">
      <alignment horizontal="center" readingOrder="0" vertical="bottom"/>
    </xf>
    <xf borderId="1" fillId="12" fontId="13" numFmtId="0" xfId="0" applyAlignment="1" applyBorder="1" applyFont="1">
      <alignment readingOrder="0" vertical="bottom"/>
    </xf>
    <xf borderId="1" fillId="12" fontId="14" numFmtId="166" xfId="0" applyAlignment="1" applyBorder="1" applyFont="1" applyNumberFormat="1">
      <alignment horizontal="center" vertical="bottom"/>
    </xf>
    <xf borderId="1" fillId="12" fontId="11" numFmtId="49" xfId="0" applyAlignment="1" applyBorder="1" applyFont="1" applyNumberFormat="1">
      <alignment vertical="bottom"/>
    </xf>
    <xf borderId="1" fillId="12" fontId="14" numFmtId="166" xfId="0" applyAlignment="1" applyBorder="1" applyFont="1" applyNumberFormat="1">
      <alignment horizontal="center" readingOrder="0" vertical="bottom"/>
    </xf>
    <xf borderId="0" fillId="12" fontId="11" numFmtId="49" xfId="0" applyAlignment="1" applyFont="1" applyNumberFormat="1">
      <alignment vertical="bottom"/>
    </xf>
    <xf borderId="0" fillId="11" fontId="11" numFmtId="49" xfId="0" applyAlignment="1" applyFont="1" applyNumberFormat="1">
      <alignment vertical="bottom"/>
    </xf>
    <xf borderId="0" fillId="11" fontId="11" numFmtId="49" xfId="0" applyAlignment="1" applyFont="1" applyNumberFormat="1">
      <alignment readingOrder="0" vertical="bottom"/>
    </xf>
    <xf borderId="0" fillId="12" fontId="11" numFmtId="49" xfId="0" applyAlignment="1" applyFont="1" applyNumberFormat="1">
      <alignment readingOrder="0" vertical="bottom"/>
    </xf>
    <xf borderId="1" fillId="0" fontId="13" numFmtId="164" xfId="0" applyAlignment="1" applyBorder="1" applyFont="1" applyNumberFormat="1">
      <alignment horizontal="center" vertical="bottom"/>
    </xf>
    <xf borderId="1" fillId="11" fontId="13" numFmtId="0" xfId="0" applyAlignment="1" applyBorder="1" applyFont="1">
      <alignment vertical="bottom"/>
    </xf>
    <xf borderId="1" fillId="11" fontId="13" numFmtId="0" xfId="0" applyAlignment="1" applyBorder="1" applyFont="1">
      <alignment horizontal="center" vertical="bottom"/>
    </xf>
    <xf borderId="1" fillId="12" fontId="13" numFmtId="0" xfId="0" applyAlignment="1" applyBorder="1" applyFont="1">
      <alignment vertical="bottom"/>
    </xf>
    <xf borderId="1" fillId="12" fontId="13" numFmtId="0" xfId="0" applyAlignment="1" applyBorder="1" applyFont="1">
      <alignment horizontal="center" vertical="bottom"/>
    </xf>
    <xf borderId="8" fillId="13" fontId="15" numFmtId="0" xfId="0" applyAlignment="1" applyBorder="1" applyFill="1" applyFont="1">
      <alignment horizontal="right" vertical="bottom"/>
    </xf>
    <xf borderId="9" fillId="0" fontId="10" numFmtId="0" xfId="0" applyBorder="1" applyFont="1"/>
    <xf borderId="10" fillId="0" fontId="10" numFmtId="0" xfId="0" applyBorder="1" applyFont="1"/>
    <xf borderId="1" fillId="13" fontId="15" numFmtId="8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readingOrder="0" vertical="bottom"/>
    </xf>
    <xf borderId="5" fillId="10" fontId="12" numFmtId="0" xfId="0" applyAlignment="1" applyBorder="1" applyFont="1">
      <alignment horizontal="center"/>
    </xf>
    <xf borderId="6" fillId="10" fontId="12" numFmtId="0" xfId="0" applyAlignment="1" applyBorder="1" applyFont="1">
      <alignment horizontal="center"/>
    </xf>
    <xf borderId="7" fillId="10" fontId="12" numFmtId="0" xfId="0" applyAlignment="1" applyBorder="1" applyFont="1">
      <alignment horizontal="center"/>
    </xf>
    <xf borderId="1" fillId="10" fontId="12" numFmtId="0" xfId="0" applyAlignment="1" applyBorder="1" applyFont="1">
      <alignment horizontal="center"/>
    </xf>
    <xf borderId="1" fillId="10" fontId="12" numFmtId="0" xfId="0" applyAlignment="1" applyBorder="1" applyFont="1">
      <alignment horizontal="center"/>
    </xf>
    <xf borderId="0" fillId="0" fontId="11" numFmtId="0" xfId="0" applyFont="1"/>
    <xf borderId="0" fillId="14" fontId="11" numFmtId="165" xfId="0" applyFill="1" applyFont="1" applyNumberFormat="1"/>
    <xf borderId="0" fillId="11" fontId="11" numFmtId="0" xfId="0" applyFont="1"/>
    <xf borderId="1" fillId="10" fontId="14" numFmtId="166" xfId="0" applyAlignment="1" applyBorder="1" applyFont="1" applyNumberFormat="1">
      <alignment horizontal="center" readingOrder="0" vertical="bottom"/>
    </xf>
    <xf borderId="1" fillId="11" fontId="11" numFmtId="49" xfId="0" applyAlignment="1" applyBorder="1" applyFont="1" applyNumberFormat="1">
      <alignment readingOrder="0" vertical="bottom"/>
    </xf>
    <xf borderId="8" fillId="13" fontId="15" numFmtId="0" xfId="0" applyAlignment="1" applyBorder="1" applyFont="1">
      <alignment horizontal="right"/>
    </xf>
    <xf borderId="1" fillId="13" fontId="15" numFmtId="8" xfId="0" applyAlignment="1" applyBorder="1" applyFont="1" applyNumberFormat="1">
      <alignment horizontal="center"/>
    </xf>
    <xf borderId="0" fillId="0" fontId="9" numFmtId="0" xfId="0" applyAlignment="1" applyFont="1">
      <alignment horizontal="center" vertical="bottom"/>
    </xf>
    <xf borderId="1" fillId="10" fontId="14" numFmtId="8" xfId="0" applyAlignment="1" applyBorder="1" applyFont="1" applyNumberFormat="1">
      <alignment horizontal="center" vertical="bottom"/>
    </xf>
    <xf borderId="1" fillId="11" fontId="16" numFmtId="49" xfId="0" applyAlignment="1" applyBorder="1" applyFont="1" applyNumberFormat="1">
      <alignment horizontal="center" vertical="bottom"/>
    </xf>
    <xf borderId="0" fillId="12" fontId="11" numFmtId="165" xfId="0" applyAlignment="1" applyFont="1" applyNumberFormat="1">
      <alignment vertical="bottom"/>
    </xf>
    <xf borderId="0" fillId="12" fontId="11" numFmtId="0" xfId="0" applyAlignment="1" applyFont="1">
      <alignment vertical="bottom"/>
    </xf>
    <xf borderId="1" fillId="0" fontId="13" numFmtId="167" xfId="0" applyAlignment="1" applyBorder="1" applyFont="1" applyNumberFormat="1">
      <alignment horizontal="center" readingOrder="0" vertical="bottom"/>
    </xf>
    <xf borderId="1" fillId="14" fontId="14" numFmtId="8" xfId="0" applyAlignment="1" applyBorder="1" applyFont="1" applyNumberFormat="1">
      <alignment horizontal="center" readingOrder="0" vertical="bottom"/>
    </xf>
    <xf borderId="1" fillId="14" fontId="16" numFmtId="49" xfId="0" applyAlignment="1" applyBorder="1" applyFont="1" applyNumberFormat="1">
      <alignment horizontal="center" vertical="bottom"/>
    </xf>
    <xf borderId="0" fillId="14" fontId="11" numFmtId="165" xfId="0" applyAlignment="1" applyFont="1" applyNumberFormat="1">
      <alignment vertical="bottom"/>
    </xf>
    <xf borderId="1" fillId="14" fontId="16" numFmtId="49" xfId="0" applyAlignment="1" applyBorder="1" applyFont="1" applyNumberFormat="1">
      <alignment horizontal="left" readingOrder="0" vertical="bottom"/>
    </xf>
    <xf borderId="1" fillId="10" fontId="14" numFmtId="8" xfId="0" applyAlignment="1" applyBorder="1" applyFont="1" applyNumberFormat="1">
      <alignment horizontal="center" readingOrder="0" vertical="bottom"/>
    </xf>
    <xf borderId="1" fillId="0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center" readingOrder="0" vertical="bottom"/>
    </xf>
    <xf borderId="1" fillId="14" fontId="11" numFmtId="49" xfId="0" applyAlignment="1" applyBorder="1" applyFont="1" applyNumberFormat="1">
      <alignment vertical="bottom"/>
    </xf>
    <xf borderId="0" fillId="12" fontId="11" numFmtId="164" xfId="0" applyAlignment="1" applyFont="1" applyNumberFormat="1">
      <alignment vertical="bottom"/>
    </xf>
    <xf borderId="0" fillId="14" fontId="11" numFmtId="8" xfId="0" applyAlignment="1" applyFont="1" applyNumberFormat="1">
      <alignment vertical="bottom"/>
    </xf>
    <xf borderId="0" fillId="11" fontId="11" numFmtId="164" xfId="0" applyAlignment="1" applyFont="1" applyNumberFormat="1">
      <alignment vertical="bottom"/>
    </xf>
    <xf borderId="0" fillId="11" fontId="11" numFmtId="8" xfId="0" applyAlignment="1" applyFont="1" applyNumberFormat="1">
      <alignment vertical="bottom"/>
    </xf>
    <xf borderId="1" fillId="14" fontId="14" numFmtId="8" xfId="0" applyAlignment="1" applyBorder="1" applyFont="1" applyNumberFormat="1">
      <alignment horizontal="center" readingOrder="0" vertical="bottom"/>
    </xf>
    <xf borderId="1" fillId="14" fontId="11" numFmtId="49" xfId="0" applyAlignment="1" applyBorder="1" applyFont="1" applyNumberFormat="1">
      <alignment vertical="bottom"/>
    </xf>
    <xf borderId="0" fillId="14" fontId="11" numFmtId="165" xfId="0" applyAlignment="1" applyFont="1" applyNumberFormat="1">
      <alignment vertical="bottom"/>
    </xf>
    <xf borderId="1" fillId="10" fontId="14" numFmtId="8" xfId="0" applyAlignment="1" applyBorder="1" applyFont="1" applyNumberFormat="1">
      <alignment horizontal="center" readingOrder="0" vertical="bottom"/>
    </xf>
    <xf borderId="1" fillId="0" fontId="16" numFmtId="49" xfId="0" applyAlignment="1" applyBorder="1" applyFont="1" applyNumberFormat="1">
      <alignment horizontal="center" vertical="bottom"/>
    </xf>
    <xf borderId="0" fillId="0" fontId="11" numFmtId="165" xfId="0" applyAlignment="1" applyFont="1" applyNumberFormat="1">
      <alignment vertical="bottom"/>
    </xf>
    <xf borderId="1" fillId="14" fontId="16" numFmtId="49" xfId="0" applyAlignment="1" applyBorder="1" applyFont="1" applyNumberFormat="1">
      <alignment horizontal="center" vertical="bottom"/>
    </xf>
    <xf borderId="1" fillId="10" fontId="14" numFmtId="166" xfId="0" applyAlignment="1" applyBorder="1" applyFont="1" applyNumberFormat="1">
      <alignment horizontal="center" readingOrder="0" vertical="bottom"/>
    </xf>
    <xf borderId="1" fillId="0" fontId="11" numFmtId="49" xfId="0" applyAlignment="1" applyBorder="1" applyFont="1" applyNumberFormat="1">
      <alignment vertical="bottom"/>
    </xf>
    <xf borderId="0" fillId="12" fontId="13" numFmtId="0" xfId="0" applyAlignment="1" applyFont="1">
      <alignment readingOrder="0" vertical="bottom"/>
    </xf>
    <xf borderId="0" fillId="12" fontId="13" numFmtId="0" xfId="0" applyAlignment="1" applyFont="1">
      <alignment horizontal="center" readingOrder="0" vertical="bottom"/>
    </xf>
    <xf borderId="1" fillId="12" fontId="16" numFmtId="49" xfId="0" applyAlignment="1" applyBorder="1" applyFont="1" applyNumberFormat="1">
      <alignment vertical="bottom"/>
    </xf>
    <xf borderId="0" fillId="11" fontId="13" numFmtId="0" xfId="0" applyAlignment="1" applyFont="1">
      <alignment readingOrder="0" vertical="bottom"/>
    </xf>
    <xf borderId="0" fillId="11" fontId="13" numFmtId="0" xfId="0" applyAlignment="1" applyFont="1">
      <alignment horizontal="center" readingOrder="0" vertical="bottom"/>
    </xf>
    <xf borderId="1" fillId="11" fontId="16" numFmtId="49" xfId="0" applyAlignment="1" applyBorder="1" applyFont="1" applyNumberFormat="1">
      <alignment vertical="bottom"/>
    </xf>
    <xf borderId="1" fillId="12" fontId="11" numFmtId="49" xfId="0" applyAlignment="1" applyBorder="1" applyFont="1" applyNumberFormat="1">
      <alignment readingOrder="0" vertical="bottom"/>
    </xf>
    <xf borderId="0" fillId="0" fontId="17" numFmtId="0" xfId="0" applyFont="1"/>
    <xf borderId="5" fillId="10" fontId="12" numFmtId="0" xfId="0" applyAlignment="1" applyBorder="1" applyFont="1">
      <alignment horizontal="center" vertical="center"/>
    </xf>
    <xf borderId="6" fillId="10" fontId="12" numFmtId="0" xfId="0" applyAlignment="1" applyBorder="1" applyFont="1">
      <alignment horizontal="center" vertical="center"/>
    </xf>
    <xf borderId="7" fillId="10" fontId="12" numFmtId="0" xfId="0" applyAlignment="1" applyBorder="1" applyFont="1">
      <alignment horizontal="center" readingOrder="0" vertical="center"/>
    </xf>
    <xf borderId="7" fillId="10" fontId="12" numFmtId="0" xfId="0" applyAlignment="1" applyBorder="1" applyFont="1">
      <alignment horizontal="center" vertical="center"/>
    </xf>
    <xf borderId="1" fillId="10" fontId="12" numFmtId="0" xfId="0" applyAlignment="1" applyBorder="1" applyFont="1">
      <alignment horizontal="center" vertical="center"/>
    </xf>
    <xf borderId="1" fillId="10" fontId="12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center"/>
    </xf>
    <xf borderId="0" fillId="0" fontId="18" numFmtId="165" xfId="0" applyAlignment="1" applyFont="1" applyNumberFormat="1">
      <alignment horizontal="center" readingOrder="0" vertical="center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horizontal="left" readingOrder="0" vertical="center"/>
    </xf>
    <xf borderId="1" fillId="0" fontId="13" numFmtId="0" xfId="0" applyAlignment="1" applyBorder="1" applyFont="1">
      <alignment horizontal="left" readingOrder="0" vertical="bottom"/>
    </xf>
    <xf borderId="1" fillId="0" fontId="1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vertical="bottom"/>
    </xf>
    <xf borderId="1" fillId="0" fontId="16" numFmtId="49" xfId="0" applyAlignment="1" applyBorder="1" applyFont="1" applyNumberFormat="1">
      <alignment horizontal="center" readingOrder="0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left" readingOrder="0" vertical="bottom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shrinkToFit="0" vertical="bottom" wrapText="1"/>
    </xf>
    <xf borderId="1" fillId="0" fontId="13" numFmtId="0" xfId="0" applyAlignment="1" applyBorder="1" applyFont="1">
      <alignment horizontal="center" readingOrder="0" shrinkToFit="0" vertical="bottom" wrapText="1"/>
    </xf>
    <xf borderId="0" fillId="0" fontId="13" numFmtId="164" xfId="0" applyAlignment="1" applyFont="1" applyNumberFormat="1">
      <alignment horizontal="center" readingOrder="0" vertical="bottom"/>
    </xf>
    <xf borderId="0" fillId="0" fontId="13" numFmtId="8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center" readingOrder="0" vertical="bottom"/>
    </xf>
    <xf borderId="1" fillId="0" fontId="16" numFmtId="49" xfId="0" applyAlignment="1" applyBorder="1" applyFont="1" applyNumberFormat="1">
      <alignment horizontal="left" readingOrder="0" vertical="bottom"/>
    </xf>
    <xf borderId="1" fillId="0" fontId="16" numFmtId="49" xfId="0" applyAlignment="1" applyBorder="1" applyFont="1" applyNumberFormat="1">
      <alignment vertical="bottom"/>
    </xf>
    <xf borderId="1" fillId="10" fontId="14" numFmtId="166" xfId="0" applyAlignment="1" applyBorder="1" applyFont="1" applyNumberFormat="1">
      <alignment horizontal="center" vertical="bottom"/>
    </xf>
    <xf borderId="1" fillId="10" fontId="13" numFmtId="166" xfId="0" applyAlignment="1" applyBorder="1" applyFont="1" applyNumberFormat="1">
      <alignment horizontal="center" readingOrder="0" vertical="bottom"/>
    </xf>
    <xf borderId="0" fillId="0" fontId="16" numFmtId="49" xfId="0" applyAlignment="1" applyFont="1" applyNumberFormat="1">
      <alignment vertical="bottom"/>
    </xf>
    <xf borderId="8" fillId="13" fontId="15" numFmtId="0" xfId="0" applyAlignment="1" applyBorder="1" applyFont="1">
      <alignment horizontal="right" readingOrder="0" vertical="center"/>
    </xf>
    <xf borderId="1" fillId="13" fontId="15" numFmtId="8" xfId="0" applyAlignment="1" applyBorder="1" applyFont="1" applyNumberFormat="1">
      <alignment horizontal="center" vertical="center"/>
    </xf>
    <xf borderId="0" fillId="0" fontId="15" numFmtId="0" xfId="0" applyAlignment="1" applyFont="1">
      <alignment vertical="center"/>
    </xf>
    <xf borderId="0" fillId="0" fontId="17" numFmtId="0" xfId="0" applyAlignment="1" applyFont="1">
      <alignment horizontal="center"/>
    </xf>
    <xf borderId="1" fillId="15" fontId="19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readingOrder="0"/>
    </xf>
    <xf borderId="11" fillId="13" fontId="20" numFmtId="0" xfId="0" applyAlignment="1" applyBorder="1" applyFont="1">
      <alignment readingOrder="0"/>
    </xf>
    <xf borderId="12" fillId="13" fontId="14" numFmtId="168" xfId="0" applyAlignment="1" applyBorder="1" applyFont="1" applyNumberFormat="1">
      <alignment horizontal="right" readingOrder="0"/>
    </xf>
    <xf borderId="11" fillId="6" fontId="14" numFmtId="0" xfId="0" applyAlignment="1" applyBorder="1" applyFont="1">
      <alignment readingOrder="0"/>
    </xf>
    <xf borderId="12" fillId="6" fontId="14" numFmtId="168" xfId="0" applyAlignment="1" applyBorder="1" applyFont="1" applyNumberFormat="1">
      <alignment horizontal="right" readingOrder="0"/>
    </xf>
    <xf borderId="5" fillId="16" fontId="20" numFmtId="0" xfId="0" applyAlignment="1" applyBorder="1" applyFill="1" applyFont="1">
      <alignment readingOrder="0"/>
    </xf>
    <xf borderId="13" fillId="16" fontId="14" numFmtId="0" xfId="0" applyAlignment="1" applyBorder="1" applyFont="1">
      <alignment horizontal="right" readingOrder="0"/>
    </xf>
    <xf borderId="0" fillId="0" fontId="13" numFmtId="0" xfId="0" applyAlignment="1" applyFont="1">
      <alignment readingOrder="0"/>
    </xf>
    <xf borderId="14" fillId="0" fontId="13" numFmtId="0" xfId="0" applyAlignment="1" applyBorder="1" applyFont="1">
      <alignment readingOrder="0"/>
    </xf>
    <xf borderId="15" fillId="0" fontId="13" numFmtId="0" xfId="0" applyAlignment="1" applyBorder="1" applyFont="1">
      <alignment readingOrder="0"/>
    </xf>
    <xf borderId="16" fillId="0" fontId="13" numFmtId="0" xfId="0" applyAlignment="1" applyBorder="1" applyFont="1">
      <alignment readingOrder="0"/>
    </xf>
    <xf borderId="17" fillId="0" fontId="13" numFmtId="0" xfId="0" applyAlignment="1" applyBorder="1" applyFont="1">
      <alignment readingOrder="0"/>
    </xf>
    <xf borderId="18" fillId="0" fontId="13" numFmtId="0" xfId="0" applyAlignment="1" applyBorder="1" applyFont="1">
      <alignment readingOrder="0"/>
    </xf>
    <xf borderId="19" fillId="0" fontId="13" numFmtId="0" xfId="0" applyAlignment="1" applyBorder="1" applyFont="1">
      <alignment readingOrder="0"/>
    </xf>
    <xf borderId="5" fillId="17" fontId="20" numFmtId="0" xfId="0" applyAlignment="1" applyBorder="1" applyFill="1" applyFont="1">
      <alignment readingOrder="0"/>
    </xf>
    <xf borderId="13" fillId="17" fontId="14" numFmtId="0" xfId="0" applyAlignment="1" applyBorder="1" applyFont="1">
      <alignment horizontal="right" readingOrder="0"/>
    </xf>
    <xf borderId="11" fillId="18" fontId="20" numFmtId="0" xfId="0" applyAlignment="1" applyBorder="1" applyFill="1" applyFont="1">
      <alignment readingOrder="0"/>
    </xf>
    <xf borderId="12" fillId="18" fontId="14" numFmtId="0" xfId="0" applyAlignment="1" applyBorder="1" applyFont="1">
      <alignment horizontal="right" readingOrder="0"/>
    </xf>
    <xf borderId="20" fillId="0" fontId="13" numFmtId="0" xfId="0" applyAlignment="1" applyBorder="1" applyFont="1">
      <alignment readingOrder="0"/>
    </xf>
    <xf borderId="21" fillId="0" fontId="13" numFmtId="0" xfId="0" applyAlignment="1" applyBorder="1" applyFont="1">
      <alignment readingOrder="0"/>
    </xf>
    <xf borderId="11" fillId="19" fontId="20" numFmtId="0" xfId="0" applyAlignment="1" applyBorder="1" applyFill="1" applyFont="1">
      <alignment readingOrder="0"/>
    </xf>
    <xf borderId="12" fillId="19" fontId="14" numFmtId="168" xfId="0" applyAlignment="1" applyBorder="1" applyFont="1" applyNumberFormat="1">
      <alignment horizontal="right" readingOrder="0"/>
    </xf>
    <xf borderId="11" fillId="20" fontId="20" numFmtId="0" xfId="0" applyAlignment="1" applyBorder="1" applyFill="1" applyFont="1">
      <alignment readingOrder="0"/>
    </xf>
    <xf borderId="12" fillId="20" fontId="14" numFmtId="0" xfId="0" applyAlignment="1" applyBorder="1" applyFont="1">
      <alignment horizontal="right" readingOrder="0"/>
    </xf>
    <xf borderId="11" fillId="21" fontId="14" numFmtId="0" xfId="0" applyAlignment="1" applyBorder="1" applyFill="1" applyFont="1">
      <alignment readingOrder="0"/>
    </xf>
    <xf borderId="12" fillId="21" fontId="14" numFmtId="168" xfId="0" applyAlignment="1" applyBorder="1" applyFont="1" applyNumberFormat="1">
      <alignment horizontal="right" readingOrder="0"/>
    </xf>
    <xf borderId="11" fillId="22" fontId="20" numFmtId="0" xfId="0" applyAlignment="1" applyBorder="1" applyFill="1" applyFont="1">
      <alignment readingOrder="0"/>
    </xf>
    <xf borderId="12" fillId="22" fontId="14" numFmtId="168" xfId="0" applyAlignment="1" applyBorder="1" applyFont="1" applyNumberFormat="1">
      <alignment horizontal="right" readingOrder="0"/>
    </xf>
    <xf borderId="11" fillId="23" fontId="14" numFmtId="0" xfId="0" applyAlignment="1" applyBorder="1" applyFill="1" applyFont="1">
      <alignment readingOrder="0"/>
    </xf>
    <xf borderId="12" fillId="23" fontId="14" numFmtId="168" xfId="0" applyAlignment="1" applyBorder="1" applyFont="1" applyNumberFormat="1">
      <alignment horizontal="right" readingOrder="0"/>
    </xf>
    <xf borderId="0" fillId="0" fontId="21" numFmtId="0" xfId="0" applyAlignment="1" applyFont="1">
      <alignment readingOrder="0"/>
    </xf>
    <xf borderId="0" fillId="0" fontId="21" numFmtId="168" xfId="0" applyFont="1" applyNumberFormat="1"/>
    <xf borderId="0" fillId="0" fontId="21" numFmtId="0" xfId="0" applyFont="1"/>
    <xf borderId="0" fillId="0" fontId="21" numFmtId="168" xfId="0" applyAlignment="1" applyFont="1" applyNumberFormat="1">
      <alignment readingOrder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7692ED"/>
          <bgColor rgb="FF7692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692ED"/>
        </left>
        <right style="thin">
          <color rgb="FF7692ED"/>
        </right>
        <top style="thin">
          <color rgb="FF7692ED"/>
        </top>
        <bottom style="thin">
          <color rgb="FF7692ED"/>
        </bottom>
      </border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rgb="FFF9CBED"/>
          <bgColor rgb="FFF9CBE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2"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Ventas-style">
      <tableStyleElement dxfId="3" type="firstRowStripe"/>
      <tableStyleElement dxfId="2" type="secondRowStripe"/>
    </tableStyle>
    <tableStyle count="2" pivot="0" name="Ventas-style 2">
      <tableStyleElement dxfId="2" type="firstRowStripe"/>
      <tableStyleElement dxfId="3" type="secondRowStripe"/>
    </tableStyle>
    <tableStyle count="2" pivot="0" name="Ventas-style 3">
      <tableStyleElement dxfId="3" type="firstRowStripe"/>
      <tableStyleElement dxfId="2" type="secondRowStripe"/>
    </tableStyle>
    <tableStyle count="2" pivot="0" name="Ventas-style 4">
      <tableStyleElement dxfId="2" type="firstRowStripe"/>
      <tableStyleElement dxfId="3" type="secondRowStripe"/>
    </tableStyle>
    <tableStyle count="2" pivot="0" name="Ventas-style 5">
      <tableStyleElement dxfId="3" type="firstRowStripe"/>
      <tableStyleElement dxfId="2" type="secondRowStripe"/>
    </tableStyle>
    <tableStyle count="2" pivot="0" name="Ventas-style 6">
      <tableStyleElement dxfId="2" type="firstRowStripe"/>
      <tableStyleElement dxfId="3" type="secondRowStripe"/>
    </tableStyle>
    <tableStyle count="2" pivot="0" name="Ventas-style 7">
      <tableStyleElement dxfId="3" type="firstRowStripe"/>
      <tableStyleElement dxfId="2" type="secondRowStripe"/>
    </tableStyle>
    <tableStyle count="2" pivot="0" name="Ventas-style 8">
      <tableStyleElement dxfId="3" type="firstRowStripe"/>
      <tableStyleElement dxfId="2" type="secondRowStripe"/>
    </tableStyle>
    <tableStyle count="2" pivot="0" name="Ventas-style 9">
      <tableStyleElement dxfId="3" type="firstRowStripe"/>
      <tableStyleElement dxfId="2" type="secondRowStripe"/>
    </tableStyle>
    <tableStyle count="2" pivot="0" name="Ventas-style 10">
      <tableStyleElement dxfId="3" type="firstRowStripe"/>
      <tableStyleElement dxfId="2" type="secondRowStripe"/>
    </tableStyle>
    <tableStyle count="2" pivot="0" name="Ventas-style 11">
      <tableStyleElement dxfId="3" type="firstRowStripe"/>
      <tableStyleElement dxfId="2" type="secondRowStripe"/>
    </tableStyle>
    <tableStyle count="2" pivot="0" name="Ventas-style 12">
      <tableStyleElement dxfId="2" type="firstRowStripe"/>
      <tableStyleElement dxfId="3" type="secondRowStripe"/>
    </tableStyle>
    <tableStyle count="2" pivot="0" name="Ventas-style 13">
      <tableStyleElement dxfId="2" type="firstRowStripe"/>
      <tableStyleElement dxfId="3" type="secondRowStripe"/>
    </tableStyle>
    <tableStyle count="2" pivot="0" name="Ventas-style 14">
      <tableStyleElement dxfId="3" type="firstRowStripe"/>
      <tableStyleElement dxfId="2" type="secondRowStripe"/>
    </tableStyle>
    <tableStyle count="2" pivot="0" name="Ventas-style 15">
      <tableStyleElement dxfId="3" type="firstRowStripe"/>
      <tableStyleElement dxfId="2" type="secondRowStripe"/>
    </tableStyle>
    <tableStyle count="2" pivot="0" name="Ventas-style 16">
      <tableStyleElement dxfId="3" type="firstRowStripe"/>
      <tableStyleElement dxfId="2" type="secondRowStripe"/>
    </tableStyle>
    <tableStyle count="2" pivot="0" name="Ventas-style 17">
      <tableStyleElement dxfId="3" type="firstRowStripe"/>
      <tableStyleElement dxfId="2" type="secondRowStripe"/>
    </tableStyle>
    <tableStyle count="2" pivot="0" name="Ventas-style 18">
      <tableStyleElement dxfId="3" type="firstRowStripe"/>
      <tableStyleElement dxfId="2" type="secondRowStripe"/>
    </tableStyle>
    <tableStyle count="2" pivot="0" name="Ventas-style 19">
      <tableStyleElement dxfId="3" type="firstRowStripe"/>
      <tableStyleElement dxfId="2" type="secondRowStripe"/>
    </tableStyle>
    <tableStyle count="2" pivot="0" name="Ventas-style 20">
      <tableStyleElement dxfId="2" type="firstRowStripe"/>
      <tableStyleElement dxfId="3" type="secondRowStripe"/>
    </tableStyle>
    <tableStyle count="2" pivot="0" name="Ventas-style 21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82" displayName="PEDIDOS_JUNIO" name="PEDIDOS_JUNIO" id="1">
  <tableColumns count="10">
    <tableColumn name="Columna 1" id="1"/>
    <tableColumn name="CLIENTE" id="2"/>
    <tableColumn name="PRODUCTO" id="3"/>
    <tableColumn name="DESCRIPCION" id="4"/>
    <tableColumn name="FECHA DE ENTREGA" id="5"/>
    <tableColumn name="Total (ARS)" id="6"/>
    <tableColumn name="SEÑA" id="7"/>
    <tableColumn name="SALDO" id="8"/>
    <tableColumn name="CANAL" id="9"/>
    <tableColumn name="ESTADO" id="10"/>
  </tableColumns>
  <tableStyleInfo name="Pedidos-style" showColumnStripes="0" showFirstColumn="1" showLastColumn="1" showRowStripes="1"/>
</table>
</file>

<file path=xl/tables/table2.xml><?xml version="1.0" encoding="utf-8"?>
<table xmlns="http://schemas.openxmlformats.org/spreadsheetml/2006/main" headerRowCount="0" ref="K2:N2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Ventas-style" showColumnStripes="0" showFirstColumn="1" showLastColumn="1" showRowStripes="1"/>
</table>
</file>

<file path=xl/tables/table3.xml><?xml version="1.0" encoding="utf-8"?>
<table xmlns="http://schemas.openxmlformats.org/spreadsheetml/2006/main" headerRowCount="0" ref="B3:G76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2" showColumnStripes="0" showFirstColumn="1" showLastColumn="1" showRowStripes="1"/>
</table>
</file>

<file path=xl/tables/table4.xml><?xml version="1.0" encoding="utf-8"?>
<table xmlns="http://schemas.openxmlformats.org/spreadsheetml/2006/main" headerRowCount="0" ref="K81:N81" displayName="Table_3" name="Table_3" id="4">
  <tableColumns count="4">
    <tableColumn name="Column1" id="1"/>
    <tableColumn name="Column2" id="2"/>
    <tableColumn name="Column3" id="3"/>
    <tableColumn name="Column4" id="4"/>
  </tableColumns>
  <tableStyleInfo name="Ventas-style 3" showColumnStripes="0" showFirstColumn="1" showLastColumn="1" showRowStripes="1"/>
</table>
</file>

<file path=xl/tables/table5.xml><?xml version="1.0" encoding="utf-8"?>
<table xmlns="http://schemas.openxmlformats.org/spreadsheetml/2006/main" headerRowCount="0" ref="B82:G212" displayName="Table_4" name="Table_4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4" showColumnStripes="0" showFirstColumn="1" showLastColumn="1" showRowStripes="1"/>
</table>
</file>

<file path=xl/tables/table6.xml><?xml version="1.0" encoding="utf-8"?>
<table xmlns="http://schemas.openxmlformats.org/spreadsheetml/2006/main" headerRowCount="0" ref="K217:N217" displayName="Table_5" name="Table_5" id="6">
  <tableColumns count="4">
    <tableColumn name="Column1" id="1"/>
    <tableColumn name="Column2" id="2"/>
    <tableColumn name="Column3" id="3"/>
    <tableColumn name="Column4" id="4"/>
  </tableColumns>
  <tableStyleInfo name="Ventas-style 5" showColumnStripes="0" showFirstColumn="1" showLastColumn="1" showRowStripes="1"/>
</table>
</file>

<file path=xl/tables/table7.xml><?xml version="1.0" encoding="utf-8"?>
<table xmlns="http://schemas.openxmlformats.org/spreadsheetml/2006/main" headerRowCount="0" ref="B218:G289" displayName="Table_6" name="Table_6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6" showColumnStripes="0" showFirstColumn="1" showLastColumn="1" showRowStripes="1"/>
</table>
</file>

<file path=xl/tables/table8.xml><?xml version="1.0" encoding="utf-8"?>
<table xmlns="http://schemas.openxmlformats.org/spreadsheetml/2006/main" headerRowCount="0" ref="K294:N300" displayName="Table_7" name="Table_7" id="8">
  <tableColumns count="4">
    <tableColumn name="Column1" id="1"/>
    <tableColumn name="Column2" id="2"/>
    <tableColumn name="Column3" id="3"/>
    <tableColumn name="Column4" id="4"/>
  </tableColumns>
  <tableStyleInfo name="Ventas-style 7" showColumnStripes="0" showFirstColumn="1" showLastColumn="1" showRowStripes="1"/>
</table>
</file>

<file path=xl/tables/table9.xml><?xml version="1.0" encoding="utf-8"?>
<table xmlns="http://schemas.openxmlformats.org/spreadsheetml/2006/main" headerRowCount="0" ref="B295:C300" displayName="Table_8" name="Table_8" id="9">
  <tableColumns count="2">
    <tableColumn name="Column1" id="1"/>
    <tableColumn name="Column2" id="2"/>
  </tableColumns>
  <tableStyleInfo name="Ventas-style 8" showColumnStripes="0" showFirstColumn="1" showLastColumn="1" showRowStripes="1"/>
</table>
</file>

<file path=xl/tables/table10.xml><?xml version="1.0" encoding="utf-8"?>
<table xmlns="http://schemas.openxmlformats.org/spreadsheetml/2006/main" headerRowCount="0" ref="D295:E300" displayName="Table_9" name="Table_9" id="10">
  <tableColumns count="2">
    <tableColumn name="Column1" id="1"/>
    <tableColumn name="Column2" id="2"/>
  </tableColumns>
  <tableStyleInfo name="Ventas-style 9" showColumnStripes="0" showFirstColumn="1" showLastColumn="1" showRowStripes="1"/>
</table>
</file>

<file path=xl/tables/table11.xml><?xml version="1.0" encoding="utf-8"?>
<table xmlns="http://schemas.openxmlformats.org/spreadsheetml/2006/main" headerRowCount="0" ref="F295:G300" displayName="Table_10" name="Table_10" id="11">
  <tableColumns count="2">
    <tableColumn name="Column1" id="1"/>
    <tableColumn name="Column2" id="2"/>
  </tableColumns>
  <tableStyleInfo name="Ventas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F301:G303" displayName="Table_11" name="Table_11" id="12">
  <tableColumns count="2">
    <tableColumn name="Column1" id="1"/>
    <tableColumn name="Column2" id="2"/>
  </tableColumns>
  <tableStyleInfo name="Ventas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K302:R303" displayName="Table_12" name="Table_12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Ventas-style 12" showColumnStripes="0" showFirstColumn="1" showLastColumn="1" showRowStripes="1"/>
</table>
</file>

<file path=xl/tables/table14.xml><?xml version="1.0" encoding="utf-8"?>
<table xmlns="http://schemas.openxmlformats.org/spreadsheetml/2006/main" headerRowCount="0" ref="B313:G328" displayName="Table_13" name="Table_13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13" showColumnStripes="0" showFirstColumn="1" showLastColumn="1" showRowStripes="1"/>
</table>
</file>

<file path=xl/tables/table15.xml><?xml version="1.0" encoding="utf-8"?>
<table xmlns="http://schemas.openxmlformats.org/spreadsheetml/2006/main" headerRowCount="0" ref="K332:N339" displayName="Table_14" name="Table_14" id="15">
  <tableColumns count="4">
    <tableColumn name="Column1" id="1"/>
    <tableColumn name="Column2" id="2"/>
    <tableColumn name="Column3" id="3"/>
    <tableColumn name="Column4" id="4"/>
  </tableColumns>
  <tableStyleInfo name="Ventas-style 14" showColumnStripes="0" showFirstColumn="1" showLastColumn="1" showRowStripes="1"/>
</table>
</file>

<file path=xl/tables/table16.xml><?xml version="1.0" encoding="utf-8"?>
<table xmlns="http://schemas.openxmlformats.org/spreadsheetml/2006/main" headerRowCount="0" ref="B333:C340" displayName="Table_15" name="Table_15" id="16">
  <tableColumns count="2">
    <tableColumn name="Column1" id="1"/>
    <tableColumn name="Column2" id="2"/>
  </tableColumns>
  <tableStyleInfo name="Ventas-style 15" showColumnStripes="0" showFirstColumn="1" showLastColumn="1" showRowStripes="1"/>
</table>
</file>

<file path=xl/tables/table17.xml><?xml version="1.0" encoding="utf-8"?>
<table xmlns="http://schemas.openxmlformats.org/spreadsheetml/2006/main" headerRowCount="0" ref="D333:D341" displayName="Table_16" name="Table_16" id="17">
  <tableColumns count="1">
    <tableColumn name="Column1" id="1"/>
  </tableColumns>
  <tableStyleInfo name="Ventas-style 16" showColumnStripes="0" showFirstColumn="1" showLastColumn="1" showRowStripes="1"/>
</table>
</file>

<file path=xl/tables/table18.xml><?xml version="1.0" encoding="utf-8"?>
<table xmlns="http://schemas.openxmlformats.org/spreadsheetml/2006/main" headerRowCount="0" ref="F333:G341" displayName="Table_17" name="Table_17" id="18">
  <tableColumns count="2">
    <tableColumn name="Column1" id="1"/>
    <tableColumn name="Column2" id="2"/>
  </tableColumns>
  <tableStyleInfo name="Ventas-style 17" showColumnStripes="0" showFirstColumn="1" showLastColumn="1" showRowStripes="1"/>
</table>
</file>

<file path=xl/tables/table19.xml><?xml version="1.0" encoding="utf-8"?>
<table xmlns="http://schemas.openxmlformats.org/spreadsheetml/2006/main" headerRowCount="0" ref="F342:G344" displayName="Table_18" name="Table_18" id="19">
  <tableColumns count="2">
    <tableColumn name="Column1" id="1"/>
    <tableColumn name="Column2" id="2"/>
  </tableColumns>
  <tableStyleInfo name="Ventas-style 18" showColumnStripes="0" showFirstColumn="1" showLastColumn="1" showRowStripes="1"/>
</table>
</file>

<file path=xl/tables/table20.xml><?xml version="1.0" encoding="utf-8"?>
<table xmlns="http://schemas.openxmlformats.org/spreadsheetml/2006/main" headerRowCount="0" ref="F345:G346" displayName="Table_19" name="Table_19" id="20">
  <tableColumns count="2">
    <tableColumn name="Column1" id="1"/>
    <tableColumn name="Column2" id="2"/>
  </tableColumns>
  <tableStyleInfo name="Ventas-style 19" showColumnStripes="0" showFirstColumn="1" showLastColumn="1" showRowStripes="1"/>
</table>
</file>

<file path=xl/tables/table21.xml><?xml version="1.0" encoding="utf-8"?>
<table xmlns="http://schemas.openxmlformats.org/spreadsheetml/2006/main" headerRowCount="0" ref="K346:R347" displayName="Table_20" name="Table_20" id="2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Ventas-style 20" showColumnStripes="0" showFirstColumn="1" showLastColumn="1" showRowStripes="1"/>
</table>
</file>

<file path=xl/tables/table22.xml><?xml version="1.0" encoding="utf-8"?>
<table xmlns="http://schemas.openxmlformats.org/spreadsheetml/2006/main" headerRowCount="0" ref="B353:G358" displayName="Table_21" name="Table_21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entas-style 2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kerworld.com/es/models/533151-soccer-trophy-v2?from=search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.xml"/><Relationship Id="rId31" Type="http://schemas.openxmlformats.org/officeDocument/2006/relationships/table" Target="../tables/table10.xml"/><Relationship Id="rId42" Type="http://schemas.openxmlformats.org/officeDocument/2006/relationships/table" Target="../tables/table21.xml"/><Relationship Id="rId30" Type="http://schemas.openxmlformats.org/officeDocument/2006/relationships/table" Target="../tables/table9.xml"/><Relationship Id="rId41" Type="http://schemas.openxmlformats.org/officeDocument/2006/relationships/table" Target="../tables/table20.xml"/><Relationship Id="rId33" Type="http://schemas.openxmlformats.org/officeDocument/2006/relationships/table" Target="../tables/table12.xml"/><Relationship Id="rId32" Type="http://schemas.openxmlformats.org/officeDocument/2006/relationships/table" Target="../tables/table11.xml"/><Relationship Id="rId43" Type="http://schemas.openxmlformats.org/officeDocument/2006/relationships/table" Target="../tables/table22.xml"/><Relationship Id="rId24" Type="http://schemas.openxmlformats.org/officeDocument/2006/relationships/table" Target="../tables/table3.xml"/><Relationship Id="rId35" Type="http://schemas.openxmlformats.org/officeDocument/2006/relationships/table" Target="../tables/table14.xml"/><Relationship Id="rId23" Type="http://schemas.openxmlformats.org/officeDocument/2006/relationships/table" Target="../tables/table2.xml"/><Relationship Id="rId34" Type="http://schemas.openxmlformats.org/officeDocument/2006/relationships/table" Target="../tables/table13.xml"/><Relationship Id="rId1" Type="http://schemas.openxmlformats.org/officeDocument/2006/relationships/drawing" Target="../drawings/drawing2.xml"/><Relationship Id="rId26" Type="http://schemas.openxmlformats.org/officeDocument/2006/relationships/table" Target="../tables/table5.xml"/><Relationship Id="rId37" Type="http://schemas.openxmlformats.org/officeDocument/2006/relationships/table" Target="../tables/table16.xml"/><Relationship Id="rId25" Type="http://schemas.openxmlformats.org/officeDocument/2006/relationships/table" Target="../tables/table4.xml"/><Relationship Id="rId36" Type="http://schemas.openxmlformats.org/officeDocument/2006/relationships/table" Target="../tables/table15.xml"/><Relationship Id="rId28" Type="http://schemas.openxmlformats.org/officeDocument/2006/relationships/table" Target="../tables/table7.xml"/><Relationship Id="rId39" Type="http://schemas.openxmlformats.org/officeDocument/2006/relationships/table" Target="../tables/table18.xml"/><Relationship Id="rId27" Type="http://schemas.openxmlformats.org/officeDocument/2006/relationships/table" Target="../tables/table6.xml"/><Relationship Id="rId38" Type="http://schemas.openxmlformats.org/officeDocument/2006/relationships/table" Target="../tables/table17.xml"/><Relationship Id="rId29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86"/>
    <col customWidth="1" min="2" max="2" width="40.43"/>
    <col customWidth="1" min="3" max="3" width="59.57"/>
    <col customWidth="1" min="4" max="4" width="76.86"/>
    <col customWidth="1" min="5" max="5" width="16.71"/>
    <col customWidth="1" min="6" max="6" width="16.86"/>
    <col customWidth="1" min="7" max="7" width="14.71"/>
    <col customWidth="1" min="8" max="8" width="15.0"/>
    <col customWidth="1" min="9" max="9" width="14.57"/>
    <col customWidth="1" min="10" max="10" width="12.0"/>
  </cols>
  <sheetData>
    <row r="1" ht="54.0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ht="22.5" customHeight="1">
      <c r="A2" s="4">
        <v>2.0</v>
      </c>
      <c r="B2" s="5" t="s">
        <v>10</v>
      </c>
      <c r="C2" s="5" t="s">
        <v>11</v>
      </c>
      <c r="D2" s="6" t="s">
        <v>12</v>
      </c>
      <c r="E2" s="7">
        <v>45845.0</v>
      </c>
      <c r="F2" s="8">
        <f>(17500*10)+(23500*3)</f>
        <v>245500</v>
      </c>
      <c r="G2" s="9">
        <v>0.0</v>
      </c>
      <c r="H2" s="10">
        <f t="shared" ref="H2:H6" si="1">F2-G2</f>
        <v>245500</v>
      </c>
      <c r="I2" s="11" t="s">
        <v>13</v>
      </c>
      <c r="J2" s="12" t="s">
        <v>14</v>
      </c>
    </row>
    <row r="3" ht="15.75" customHeight="1">
      <c r="A3" s="4">
        <v>5.0</v>
      </c>
      <c r="B3" s="13" t="s">
        <v>15</v>
      </c>
      <c r="C3" s="13" t="s">
        <v>16</v>
      </c>
      <c r="D3" s="14" t="s">
        <v>17</v>
      </c>
      <c r="E3" s="15">
        <v>46077.0</v>
      </c>
      <c r="F3" s="16">
        <v>27000.0</v>
      </c>
      <c r="G3" s="16">
        <v>11200.0</v>
      </c>
      <c r="H3" s="16">
        <f t="shared" si="1"/>
        <v>15800</v>
      </c>
      <c r="I3" s="17"/>
      <c r="J3" s="17" t="s">
        <v>14</v>
      </c>
    </row>
    <row r="4" ht="15.75" customHeight="1">
      <c r="A4" s="4">
        <v>6.0</v>
      </c>
      <c r="B4" s="13" t="s">
        <v>18</v>
      </c>
      <c r="C4" s="18" t="s">
        <v>19</v>
      </c>
      <c r="D4" s="14" t="s">
        <v>20</v>
      </c>
      <c r="E4" s="15">
        <v>46103.0</v>
      </c>
      <c r="F4" s="16">
        <f>4000*10</f>
        <v>40000</v>
      </c>
      <c r="G4" s="16"/>
      <c r="H4" s="16">
        <f t="shared" si="1"/>
        <v>40000</v>
      </c>
      <c r="I4" s="17" t="s">
        <v>13</v>
      </c>
      <c r="J4" s="17"/>
    </row>
    <row r="5" ht="15.75" customHeight="1">
      <c r="A5" s="4">
        <v>8.0</v>
      </c>
      <c r="B5" s="19" t="s">
        <v>21</v>
      </c>
      <c r="C5" s="19" t="s">
        <v>22</v>
      </c>
      <c r="D5" s="20" t="s">
        <v>23</v>
      </c>
      <c r="E5" s="21">
        <v>46059.0</v>
      </c>
      <c r="F5" s="22">
        <v>65000.0</v>
      </c>
      <c r="G5" s="22"/>
      <c r="H5" s="23">
        <f t="shared" si="1"/>
        <v>65000</v>
      </c>
      <c r="I5" s="24"/>
      <c r="J5" s="25" t="s">
        <v>24</v>
      </c>
    </row>
    <row r="6" ht="15.75" customHeight="1">
      <c r="A6" s="4">
        <v>9.0</v>
      </c>
      <c r="B6" s="18" t="s">
        <v>25</v>
      </c>
      <c r="C6" s="18" t="s">
        <v>26</v>
      </c>
      <c r="D6" s="26" t="s">
        <v>27</v>
      </c>
      <c r="E6" s="27"/>
      <c r="F6" s="23"/>
      <c r="G6" s="23"/>
      <c r="H6" s="23">
        <f t="shared" si="1"/>
        <v>0</v>
      </c>
      <c r="I6" s="28" t="s">
        <v>13</v>
      </c>
      <c r="J6" s="29"/>
    </row>
    <row r="7" ht="15.75" customHeight="1">
      <c r="A7" s="4">
        <v>10.0</v>
      </c>
      <c r="B7" s="18" t="s">
        <v>28</v>
      </c>
      <c r="C7" s="18" t="s">
        <v>29</v>
      </c>
      <c r="D7" s="26" t="s">
        <v>30</v>
      </c>
      <c r="E7" s="27">
        <v>46113.0</v>
      </c>
      <c r="F7" s="23">
        <v>22500.0</v>
      </c>
      <c r="G7" s="23"/>
      <c r="H7" s="23"/>
      <c r="I7" s="28" t="s">
        <v>13</v>
      </c>
      <c r="J7" s="28" t="s">
        <v>31</v>
      </c>
    </row>
    <row r="8" ht="15.75" customHeight="1">
      <c r="A8" s="4">
        <v>11.0</v>
      </c>
      <c r="B8" s="18" t="s">
        <v>28</v>
      </c>
      <c r="C8" s="18" t="s">
        <v>29</v>
      </c>
      <c r="D8" s="26" t="s">
        <v>32</v>
      </c>
      <c r="E8" s="27">
        <v>46114.0</v>
      </c>
      <c r="F8" s="23">
        <v>22500.0</v>
      </c>
      <c r="G8" s="23"/>
      <c r="H8" s="23"/>
      <c r="I8" s="28" t="s">
        <v>13</v>
      </c>
      <c r="J8" s="28" t="s">
        <v>31</v>
      </c>
    </row>
    <row r="9" ht="15.75" customHeight="1">
      <c r="A9" s="4">
        <v>12.0</v>
      </c>
      <c r="B9" s="30" t="s">
        <v>33</v>
      </c>
      <c r="C9" s="30" t="s">
        <v>34</v>
      </c>
      <c r="D9" s="31" t="s">
        <v>35</v>
      </c>
      <c r="E9" s="32">
        <v>46117.0</v>
      </c>
      <c r="F9" s="33">
        <v>18000.0</v>
      </c>
      <c r="G9" s="33"/>
      <c r="H9" s="33"/>
      <c r="I9" s="34" t="s">
        <v>13</v>
      </c>
      <c r="J9" s="34" t="s">
        <v>31</v>
      </c>
    </row>
    <row r="10" ht="15.75" customHeight="1">
      <c r="A10" s="4">
        <v>13.0</v>
      </c>
      <c r="B10" s="30" t="s">
        <v>33</v>
      </c>
      <c r="C10" s="30" t="s">
        <v>34</v>
      </c>
      <c r="D10" s="31" t="s">
        <v>36</v>
      </c>
      <c r="E10" s="32"/>
      <c r="F10" s="33">
        <v>18000.0</v>
      </c>
      <c r="G10" s="33"/>
      <c r="H10" s="33"/>
      <c r="I10" s="34" t="s">
        <v>13</v>
      </c>
      <c r="J10" s="34" t="s">
        <v>31</v>
      </c>
    </row>
    <row r="11" ht="15.75" customHeight="1">
      <c r="A11" s="4">
        <v>14.0</v>
      </c>
      <c r="B11" s="18" t="s">
        <v>33</v>
      </c>
      <c r="C11" s="18" t="s">
        <v>37</v>
      </c>
      <c r="D11" s="26" t="s">
        <v>38</v>
      </c>
      <c r="E11" s="27">
        <v>46117.0</v>
      </c>
      <c r="F11" s="23"/>
      <c r="G11" s="23"/>
      <c r="H11" s="23"/>
      <c r="I11" s="28" t="s">
        <v>13</v>
      </c>
      <c r="J11" s="29"/>
    </row>
    <row r="12" ht="15.75" customHeight="1">
      <c r="A12" s="4">
        <v>15.0</v>
      </c>
      <c r="B12" s="18" t="s">
        <v>33</v>
      </c>
      <c r="C12" s="18" t="s">
        <v>37</v>
      </c>
      <c r="D12" s="26" t="s">
        <v>39</v>
      </c>
      <c r="E12" s="27"/>
      <c r="F12" s="23"/>
      <c r="G12" s="23"/>
      <c r="H12" s="23"/>
      <c r="I12" s="28" t="s">
        <v>13</v>
      </c>
      <c r="J12" s="29"/>
    </row>
    <row r="13" ht="22.5" customHeight="1">
      <c r="A13" s="4">
        <v>16.0</v>
      </c>
      <c r="B13" s="30" t="s">
        <v>33</v>
      </c>
      <c r="C13" s="30" t="s">
        <v>40</v>
      </c>
      <c r="D13" s="31" t="s">
        <v>41</v>
      </c>
      <c r="E13" s="35">
        <v>46117.0</v>
      </c>
      <c r="F13" s="36">
        <f>18000*2</f>
        <v>36000</v>
      </c>
      <c r="G13" s="36"/>
      <c r="H13" s="36"/>
      <c r="I13" s="34" t="s">
        <v>13</v>
      </c>
      <c r="J13" s="34" t="s">
        <v>31</v>
      </c>
    </row>
    <row r="14" ht="15.75" customHeight="1">
      <c r="A14" s="4">
        <v>21.0</v>
      </c>
      <c r="B14" s="18" t="s">
        <v>42</v>
      </c>
      <c r="C14" s="18" t="s">
        <v>43</v>
      </c>
      <c r="D14" s="26" t="s">
        <v>44</v>
      </c>
      <c r="E14" s="37"/>
      <c r="F14" s="38">
        <f>27000*3</f>
        <v>81000</v>
      </c>
      <c r="G14" s="38"/>
      <c r="H14" s="38"/>
      <c r="I14" s="28" t="s">
        <v>13</v>
      </c>
      <c r="J14" s="28" t="s">
        <v>31</v>
      </c>
    </row>
    <row r="15" ht="15.75" customHeight="1">
      <c r="A15" s="4">
        <v>23.0</v>
      </c>
      <c r="B15" s="18" t="s">
        <v>45</v>
      </c>
      <c r="C15" s="18" t="s">
        <v>46</v>
      </c>
      <c r="D15" s="26" t="s">
        <v>47</v>
      </c>
      <c r="E15" s="37">
        <v>46183.0</v>
      </c>
      <c r="F15" s="38">
        <f>SUM(3500*20)</f>
        <v>70000</v>
      </c>
      <c r="G15" s="38">
        <v>46500.0</v>
      </c>
      <c r="H15" s="38"/>
      <c r="I15" s="28" t="s">
        <v>48</v>
      </c>
      <c r="J15" s="28" t="s">
        <v>49</v>
      </c>
    </row>
    <row r="16" ht="15.75" customHeight="1">
      <c r="A16" s="39">
        <v>24.0</v>
      </c>
      <c r="B16" s="40" t="s">
        <v>50</v>
      </c>
      <c r="C16" s="40" t="s">
        <v>51</v>
      </c>
      <c r="D16" s="41" t="s">
        <v>52</v>
      </c>
      <c r="E16" s="42">
        <v>46158.0</v>
      </c>
      <c r="F16" s="43">
        <f>AVERAGE(1700*30)</f>
        <v>51000</v>
      </c>
      <c r="G16" s="43">
        <v>25500.0</v>
      </c>
      <c r="H16" s="43"/>
      <c r="I16" s="44"/>
      <c r="J16" s="45" t="s">
        <v>31</v>
      </c>
    </row>
    <row r="17" ht="15.75" customHeight="1">
      <c r="A17" s="4">
        <v>25.0</v>
      </c>
      <c r="B17" s="18" t="s">
        <v>53</v>
      </c>
      <c r="C17" s="18" t="s">
        <v>54</v>
      </c>
      <c r="D17" s="26" t="s">
        <v>55</v>
      </c>
      <c r="E17" s="37"/>
      <c r="F17" s="38">
        <f>2500*8+400</f>
        <v>20400</v>
      </c>
      <c r="G17" s="38"/>
      <c r="H17" s="38"/>
      <c r="I17" s="29"/>
      <c r="J17" s="29"/>
    </row>
    <row r="18" ht="15.75" customHeight="1">
      <c r="A18" s="39">
        <v>27.0</v>
      </c>
      <c r="B18" s="40" t="s">
        <v>56</v>
      </c>
      <c r="C18" s="40" t="s">
        <v>57</v>
      </c>
      <c r="D18" s="41" t="s">
        <v>58</v>
      </c>
      <c r="E18" s="42">
        <v>46135.0</v>
      </c>
      <c r="F18" s="43">
        <f>1200*10</f>
        <v>12000</v>
      </c>
      <c r="G18" s="43"/>
      <c r="H18" s="43"/>
      <c r="I18" s="45" t="s">
        <v>13</v>
      </c>
      <c r="J18" s="45" t="s">
        <v>31</v>
      </c>
    </row>
    <row r="19" ht="15.75" customHeight="1">
      <c r="A19" s="39">
        <v>29.0</v>
      </c>
      <c r="B19" s="40" t="s">
        <v>59</v>
      </c>
      <c r="C19" s="40" t="s">
        <v>60</v>
      </c>
      <c r="D19" s="41" t="s">
        <v>61</v>
      </c>
      <c r="E19" s="42">
        <v>46149.0</v>
      </c>
      <c r="F19" s="43">
        <v>185000.0</v>
      </c>
      <c r="G19" s="43"/>
      <c r="H19" s="43"/>
      <c r="I19" s="44"/>
      <c r="J19" s="45" t="s">
        <v>31</v>
      </c>
    </row>
    <row r="20" ht="15.75" customHeight="1">
      <c r="A20" s="46">
        <v>30.0</v>
      </c>
      <c r="B20" s="47" t="s">
        <v>62</v>
      </c>
      <c r="C20" s="47" t="s">
        <v>63</v>
      </c>
      <c r="D20" s="48"/>
      <c r="E20" s="49">
        <v>46144.0</v>
      </c>
      <c r="F20" s="50">
        <v>35000.0</v>
      </c>
      <c r="G20" s="50"/>
      <c r="H20" s="50"/>
      <c r="I20" s="51"/>
      <c r="J20" s="52" t="s">
        <v>31</v>
      </c>
    </row>
    <row r="21" ht="15.75" customHeight="1">
      <c r="A21" s="39">
        <v>31.0</v>
      </c>
      <c r="B21" s="40" t="s">
        <v>64</v>
      </c>
      <c r="C21" s="40" t="s">
        <v>65</v>
      </c>
      <c r="D21" s="41" t="s">
        <v>66</v>
      </c>
      <c r="E21" s="42">
        <v>46160.0</v>
      </c>
      <c r="F21" s="43">
        <v>35000.0</v>
      </c>
      <c r="G21" s="43">
        <v>15000.0</v>
      </c>
      <c r="H21" s="43"/>
      <c r="I21" s="45" t="s">
        <v>13</v>
      </c>
      <c r="J21" s="45" t="s">
        <v>31</v>
      </c>
    </row>
    <row r="22" ht="15.75" customHeight="1">
      <c r="A22" s="39">
        <v>32.0</v>
      </c>
      <c r="B22" s="40" t="s">
        <v>67</v>
      </c>
      <c r="C22" s="40" t="s">
        <v>68</v>
      </c>
      <c r="D22" s="41" t="s">
        <v>69</v>
      </c>
      <c r="E22" s="42">
        <v>46148.0</v>
      </c>
      <c r="F22" s="43">
        <v>24000.0</v>
      </c>
      <c r="G22" s="43">
        <v>10000.0</v>
      </c>
      <c r="H22" s="43"/>
      <c r="I22" s="45" t="s">
        <v>13</v>
      </c>
      <c r="J22" s="45" t="s">
        <v>31</v>
      </c>
    </row>
    <row r="23" ht="15.75" customHeight="1">
      <c r="A23" s="39">
        <v>33.0</v>
      </c>
      <c r="B23" s="40" t="s">
        <v>70</v>
      </c>
      <c r="C23" s="40" t="s">
        <v>71</v>
      </c>
      <c r="D23" s="41" t="s">
        <v>72</v>
      </c>
      <c r="E23" s="42">
        <v>46154.0</v>
      </c>
      <c r="F23" s="43"/>
      <c r="G23" s="43"/>
      <c r="H23" s="43"/>
      <c r="I23" s="44"/>
      <c r="J23" s="45" t="s">
        <v>31</v>
      </c>
    </row>
    <row r="24" ht="15.75" customHeight="1">
      <c r="A24" s="39">
        <v>34.0</v>
      </c>
      <c r="B24" s="40" t="s">
        <v>73</v>
      </c>
      <c r="C24" s="53"/>
      <c r="D24" s="41" t="s">
        <v>74</v>
      </c>
      <c r="E24" s="42">
        <v>46147.0</v>
      </c>
      <c r="F24" s="43">
        <v>27000.0</v>
      </c>
      <c r="G24" s="43">
        <v>10000.0</v>
      </c>
      <c r="H24" s="43"/>
      <c r="I24" s="45" t="s">
        <v>13</v>
      </c>
      <c r="J24" s="45" t="s">
        <v>31</v>
      </c>
    </row>
    <row r="25" ht="15.75" customHeight="1">
      <c r="A25" s="39">
        <v>35.0</v>
      </c>
      <c r="B25" s="40" t="s">
        <v>75</v>
      </c>
      <c r="C25" s="40" t="s">
        <v>76</v>
      </c>
      <c r="D25" s="41" t="s">
        <v>77</v>
      </c>
      <c r="E25" s="42"/>
      <c r="F25" s="43"/>
      <c r="G25" s="43"/>
      <c r="H25" s="43"/>
      <c r="I25" s="44"/>
      <c r="J25" s="45" t="s">
        <v>31</v>
      </c>
    </row>
    <row r="26" ht="15.75" customHeight="1">
      <c r="A26" s="39">
        <v>37.0</v>
      </c>
      <c r="B26" s="40" t="s">
        <v>78</v>
      </c>
      <c r="C26" s="40" t="s">
        <v>79</v>
      </c>
      <c r="D26" s="41" t="s">
        <v>80</v>
      </c>
      <c r="E26" s="42"/>
      <c r="F26" s="43"/>
      <c r="G26" s="43"/>
      <c r="H26" s="43"/>
      <c r="I26" s="44"/>
      <c r="J26" s="45" t="s">
        <v>31</v>
      </c>
    </row>
    <row r="27" ht="15.75" customHeight="1">
      <c r="A27" s="39">
        <v>38.0</v>
      </c>
      <c r="B27" s="40" t="s">
        <v>81</v>
      </c>
      <c r="C27" s="40" t="s">
        <v>82</v>
      </c>
      <c r="D27" s="41" t="s">
        <v>83</v>
      </c>
      <c r="E27" s="42"/>
      <c r="F27" s="43">
        <v>12500.0</v>
      </c>
      <c r="G27" s="43">
        <v>12500.0</v>
      </c>
      <c r="H27" s="43"/>
      <c r="I27" s="44"/>
      <c r="J27" s="45" t="s">
        <v>31</v>
      </c>
    </row>
    <row r="28" ht="15.75" customHeight="1">
      <c r="A28" s="46">
        <v>39.0</v>
      </c>
      <c r="B28" s="47" t="s">
        <v>84</v>
      </c>
      <c r="C28" s="47" t="s">
        <v>85</v>
      </c>
      <c r="D28" s="48" t="s">
        <v>86</v>
      </c>
      <c r="E28" s="49"/>
      <c r="F28" s="50">
        <v>49500.0</v>
      </c>
      <c r="G28" s="50">
        <v>15000.0</v>
      </c>
      <c r="H28" s="50"/>
      <c r="I28" s="51"/>
      <c r="J28" s="52" t="s">
        <v>31</v>
      </c>
    </row>
    <row r="29" ht="15.75" customHeight="1">
      <c r="A29" s="39">
        <v>40.0</v>
      </c>
      <c r="B29" s="40" t="s">
        <v>87</v>
      </c>
      <c r="C29" s="40" t="s">
        <v>88</v>
      </c>
      <c r="D29" s="41"/>
      <c r="E29" s="42">
        <v>46147.0</v>
      </c>
      <c r="F29" s="43">
        <v>59000.0</v>
      </c>
      <c r="G29" s="43">
        <v>0.0</v>
      </c>
      <c r="H29" s="43"/>
      <c r="I29" s="44"/>
      <c r="J29" s="45" t="s">
        <v>31</v>
      </c>
    </row>
    <row r="30" ht="15.75" customHeight="1">
      <c r="A30" s="39">
        <v>41.0</v>
      </c>
      <c r="B30" s="40" t="s">
        <v>89</v>
      </c>
      <c r="C30" s="40" t="s">
        <v>90</v>
      </c>
      <c r="D30" s="41"/>
      <c r="E30" s="42">
        <v>46147.0</v>
      </c>
      <c r="F30" s="43">
        <v>19000.0</v>
      </c>
      <c r="G30" s="43">
        <v>19000.0</v>
      </c>
      <c r="H30" s="43">
        <f t="shared" ref="H30:H31" si="2">F30-G30</f>
        <v>0</v>
      </c>
      <c r="I30" s="45" t="s">
        <v>13</v>
      </c>
      <c r="J30" s="45" t="s">
        <v>31</v>
      </c>
    </row>
    <row r="31" ht="15.75" customHeight="1">
      <c r="A31" s="39">
        <v>42.0</v>
      </c>
      <c r="B31" s="40"/>
      <c r="C31" s="40" t="s">
        <v>91</v>
      </c>
      <c r="D31" s="41" t="s">
        <v>92</v>
      </c>
      <c r="E31" s="42">
        <v>46147.0</v>
      </c>
      <c r="F31" s="43">
        <v>22500.0</v>
      </c>
      <c r="G31" s="43">
        <v>10000.0</v>
      </c>
      <c r="H31" s="43">
        <f t="shared" si="2"/>
        <v>12500</v>
      </c>
      <c r="I31" s="45" t="s">
        <v>13</v>
      </c>
      <c r="J31" s="45" t="s">
        <v>31</v>
      </c>
    </row>
    <row r="32" ht="15.75" customHeight="1">
      <c r="A32" s="39"/>
      <c r="B32" s="40" t="s">
        <v>93</v>
      </c>
      <c r="C32" s="40" t="s">
        <v>82</v>
      </c>
      <c r="D32" s="41" t="s">
        <v>94</v>
      </c>
      <c r="E32" s="42">
        <v>46151.0</v>
      </c>
      <c r="F32" s="43">
        <v>12500.0</v>
      </c>
      <c r="G32" s="43">
        <v>12500.0</v>
      </c>
      <c r="H32" s="43">
        <v>0.0</v>
      </c>
      <c r="I32" s="45" t="s">
        <v>13</v>
      </c>
      <c r="J32" s="45" t="s">
        <v>31</v>
      </c>
    </row>
    <row r="33" ht="15.75" customHeight="1">
      <c r="A33" s="39"/>
      <c r="B33" s="40" t="s">
        <v>95</v>
      </c>
      <c r="C33" s="40" t="s">
        <v>96</v>
      </c>
      <c r="D33" s="41" t="s">
        <v>97</v>
      </c>
      <c r="E33" s="42">
        <v>46151.0</v>
      </c>
      <c r="F33" s="43">
        <v>22500.0</v>
      </c>
      <c r="G33" s="43">
        <v>22500.0</v>
      </c>
      <c r="H33" s="43"/>
      <c r="I33" s="44"/>
      <c r="J33" s="45" t="s">
        <v>31</v>
      </c>
    </row>
    <row r="34" ht="15.75" customHeight="1">
      <c r="A34" s="4"/>
      <c r="B34" s="18" t="s">
        <v>98</v>
      </c>
      <c r="C34" s="18" t="s">
        <v>99</v>
      </c>
      <c r="D34" s="26" t="s">
        <v>100</v>
      </c>
      <c r="E34" s="37"/>
      <c r="F34" s="38"/>
      <c r="G34" s="38"/>
      <c r="H34" s="38"/>
      <c r="I34" s="28" t="s">
        <v>13</v>
      </c>
      <c r="J34" s="29"/>
    </row>
    <row r="35" ht="15.75" customHeight="1">
      <c r="A35" s="39"/>
      <c r="B35" s="40" t="s">
        <v>101</v>
      </c>
      <c r="C35" s="40" t="s">
        <v>102</v>
      </c>
      <c r="D35" s="41" t="s">
        <v>103</v>
      </c>
      <c r="E35" s="42">
        <v>46151.0</v>
      </c>
      <c r="F35" s="43"/>
      <c r="G35" s="43">
        <f>12000*3</f>
        <v>36000</v>
      </c>
      <c r="H35" s="43"/>
      <c r="I35" s="45" t="s">
        <v>13</v>
      </c>
      <c r="J35" s="45" t="s">
        <v>31</v>
      </c>
    </row>
    <row r="36" ht="15.75" customHeight="1">
      <c r="A36" s="39"/>
      <c r="B36" s="40" t="s">
        <v>104</v>
      </c>
      <c r="C36" s="40" t="s">
        <v>82</v>
      </c>
      <c r="D36" s="41" t="s">
        <v>105</v>
      </c>
      <c r="E36" s="42">
        <v>46150.0</v>
      </c>
      <c r="F36" s="43">
        <v>12500.0</v>
      </c>
      <c r="G36" s="43">
        <v>12500.0</v>
      </c>
      <c r="H36" s="43"/>
      <c r="I36" s="45" t="s">
        <v>13</v>
      </c>
      <c r="J36" s="44"/>
    </row>
    <row r="37" ht="15.75" customHeight="1">
      <c r="A37" s="39"/>
      <c r="B37" s="40" t="s">
        <v>106</v>
      </c>
      <c r="C37" s="40" t="s">
        <v>82</v>
      </c>
      <c r="D37" s="41" t="s">
        <v>107</v>
      </c>
      <c r="E37" s="42">
        <v>46150.0</v>
      </c>
      <c r="F37" s="43">
        <v>12500.0</v>
      </c>
      <c r="G37" s="43">
        <v>12500.0</v>
      </c>
      <c r="H37" s="43"/>
      <c r="I37" s="45" t="s">
        <v>108</v>
      </c>
      <c r="J37" s="45" t="s">
        <v>31</v>
      </c>
    </row>
    <row r="38" ht="15.75" customHeight="1">
      <c r="A38" s="46"/>
      <c r="B38" s="47" t="s">
        <v>109</v>
      </c>
      <c r="C38" s="47" t="s">
        <v>82</v>
      </c>
      <c r="D38" s="48" t="s">
        <v>110</v>
      </c>
      <c r="E38" s="49">
        <v>46150.0</v>
      </c>
      <c r="F38" s="50">
        <v>12500.0</v>
      </c>
      <c r="G38" s="50"/>
      <c r="H38" s="50"/>
      <c r="I38" s="52" t="s">
        <v>48</v>
      </c>
      <c r="J38" s="52" t="s">
        <v>31</v>
      </c>
    </row>
    <row r="39" ht="15.75" customHeight="1">
      <c r="A39" s="39"/>
      <c r="B39" s="40" t="s">
        <v>111</v>
      </c>
      <c r="C39" s="40" t="s">
        <v>82</v>
      </c>
      <c r="D39" s="41" t="s">
        <v>110</v>
      </c>
      <c r="E39" s="42">
        <v>46150.0</v>
      </c>
      <c r="F39" s="43"/>
      <c r="G39" s="43"/>
      <c r="H39" s="43"/>
      <c r="I39" s="45" t="s">
        <v>13</v>
      </c>
      <c r="J39" s="45" t="s">
        <v>31</v>
      </c>
    </row>
    <row r="40" ht="15.75" customHeight="1">
      <c r="A40" s="39"/>
      <c r="B40" s="40" t="s">
        <v>112</v>
      </c>
      <c r="C40" s="40" t="s">
        <v>113</v>
      </c>
      <c r="D40" s="41" t="s">
        <v>114</v>
      </c>
      <c r="E40" s="42">
        <v>46152.0</v>
      </c>
      <c r="F40" s="43">
        <f>5000*10</f>
        <v>50000</v>
      </c>
      <c r="G40" s="43"/>
      <c r="H40" s="43"/>
      <c r="I40" s="45" t="s">
        <v>13</v>
      </c>
      <c r="J40" s="45" t="s">
        <v>31</v>
      </c>
    </row>
    <row r="41" ht="15.75" customHeight="1">
      <c r="A41" s="39"/>
      <c r="B41" s="40" t="s">
        <v>115</v>
      </c>
      <c r="C41" s="40" t="s">
        <v>116</v>
      </c>
      <c r="D41" s="41" t="s">
        <v>117</v>
      </c>
      <c r="E41" s="42">
        <v>46150.0</v>
      </c>
      <c r="F41" s="43">
        <f>12500*2</f>
        <v>25000</v>
      </c>
      <c r="G41" s="43">
        <v>25000.0</v>
      </c>
      <c r="H41" s="43"/>
      <c r="I41" s="45" t="s">
        <v>48</v>
      </c>
      <c r="J41" s="45" t="s">
        <v>31</v>
      </c>
    </row>
    <row r="42" ht="15.75" customHeight="1">
      <c r="A42" s="39"/>
      <c r="B42" s="40" t="s">
        <v>118</v>
      </c>
      <c r="C42" s="40" t="s">
        <v>119</v>
      </c>
      <c r="D42" s="41" t="s">
        <v>120</v>
      </c>
      <c r="E42" s="42">
        <v>46151.0</v>
      </c>
      <c r="F42" s="43">
        <v>12500.0</v>
      </c>
      <c r="G42" s="43">
        <v>7000.0</v>
      </c>
      <c r="H42" s="43"/>
      <c r="I42" s="45" t="s">
        <v>13</v>
      </c>
      <c r="J42" s="45" t="s">
        <v>31</v>
      </c>
    </row>
    <row r="43" ht="15.75" customHeight="1">
      <c r="A43" s="39"/>
      <c r="B43" s="40" t="s">
        <v>98</v>
      </c>
      <c r="C43" s="40" t="s">
        <v>121</v>
      </c>
      <c r="D43" s="41" t="s">
        <v>122</v>
      </c>
      <c r="E43" s="42">
        <v>46150.0</v>
      </c>
      <c r="F43" s="43">
        <v>12500.0</v>
      </c>
      <c r="G43" s="43">
        <v>0.0</v>
      </c>
      <c r="H43" s="43"/>
      <c r="I43" s="45" t="s">
        <v>13</v>
      </c>
      <c r="J43" s="45" t="s">
        <v>31</v>
      </c>
    </row>
    <row r="44" ht="15.75" customHeight="1">
      <c r="A44" s="39"/>
      <c r="B44" s="40" t="s">
        <v>123</v>
      </c>
      <c r="C44" s="40" t="s">
        <v>82</v>
      </c>
      <c r="D44" s="41" t="s">
        <v>124</v>
      </c>
      <c r="E44" s="42">
        <v>46150.0</v>
      </c>
      <c r="F44" s="43">
        <f>12500*2</f>
        <v>25000</v>
      </c>
      <c r="G44" s="43">
        <v>0.0</v>
      </c>
      <c r="H44" s="43"/>
      <c r="I44" s="45" t="s">
        <v>48</v>
      </c>
      <c r="J44" s="45" t="s">
        <v>31</v>
      </c>
    </row>
    <row r="45" ht="15.75" customHeight="1">
      <c r="A45" s="39"/>
      <c r="B45" s="40" t="s">
        <v>125</v>
      </c>
      <c r="C45" s="40" t="s">
        <v>82</v>
      </c>
      <c r="D45" s="41" t="s">
        <v>126</v>
      </c>
      <c r="E45" s="42">
        <v>46153.0</v>
      </c>
      <c r="F45" s="43">
        <v>12500.0</v>
      </c>
      <c r="G45" s="43">
        <v>6250.0</v>
      </c>
      <c r="H45" s="43"/>
      <c r="I45" s="44"/>
      <c r="J45" s="45" t="s">
        <v>31</v>
      </c>
    </row>
    <row r="46" ht="15.75" customHeight="1">
      <c r="A46" s="39"/>
      <c r="B46" s="40" t="s">
        <v>127</v>
      </c>
      <c r="C46" s="40" t="s">
        <v>128</v>
      </c>
      <c r="D46" s="41"/>
      <c r="E46" s="42">
        <v>46153.0</v>
      </c>
      <c r="F46" s="43">
        <v>25000.0</v>
      </c>
      <c r="G46" s="43">
        <v>12500.0</v>
      </c>
      <c r="H46" s="43"/>
      <c r="I46" s="44"/>
      <c r="J46" s="45" t="s">
        <v>31</v>
      </c>
    </row>
    <row r="47" ht="15.75" customHeight="1">
      <c r="A47" s="39"/>
      <c r="B47" s="40" t="s">
        <v>129</v>
      </c>
      <c r="C47" s="40" t="s">
        <v>130</v>
      </c>
      <c r="D47" s="41" t="s">
        <v>131</v>
      </c>
      <c r="E47" s="42">
        <v>46156.0</v>
      </c>
      <c r="F47" s="43">
        <v>19000.0</v>
      </c>
      <c r="G47" s="43">
        <v>19000.0</v>
      </c>
      <c r="H47" s="43"/>
      <c r="I47" s="44"/>
      <c r="J47" s="45" t="s">
        <v>31</v>
      </c>
    </row>
    <row r="48" ht="22.5" customHeight="1">
      <c r="A48" s="39">
        <v>26.0</v>
      </c>
      <c r="B48" s="40" t="s">
        <v>132</v>
      </c>
      <c r="C48" s="40" t="s">
        <v>133</v>
      </c>
      <c r="D48" s="41"/>
      <c r="E48" s="42">
        <v>46156.0</v>
      </c>
      <c r="F48" s="43"/>
      <c r="G48" s="43"/>
      <c r="H48" s="43"/>
      <c r="I48" s="45" t="s">
        <v>13</v>
      </c>
      <c r="J48" s="45" t="s">
        <v>31</v>
      </c>
    </row>
    <row r="49" ht="15.75" customHeight="1">
      <c r="A49" s="54"/>
      <c r="B49" s="40" t="s">
        <v>134</v>
      </c>
      <c r="C49" s="40" t="s">
        <v>135</v>
      </c>
      <c r="D49" s="55"/>
      <c r="E49" s="56">
        <v>46157.0</v>
      </c>
      <c r="F49" s="57">
        <v>15500.0</v>
      </c>
      <c r="G49" s="58"/>
      <c r="H49" s="58"/>
      <c r="I49" s="59"/>
      <c r="J49" s="60" t="s">
        <v>31</v>
      </c>
    </row>
    <row r="50" ht="15.75" customHeight="1">
      <c r="A50" s="61"/>
      <c r="B50" s="5" t="s">
        <v>136</v>
      </c>
      <c r="C50" s="5" t="s">
        <v>137</v>
      </c>
      <c r="D50" s="62" t="s">
        <v>138</v>
      </c>
      <c r="E50" s="63"/>
      <c r="F50" s="10"/>
      <c r="G50" s="10"/>
      <c r="H50" s="10"/>
      <c r="I50" s="64"/>
      <c r="J50" s="64"/>
    </row>
    <row r="51" ht="15.75" customHeight="1">
      <c r="A51" s="54"/>
      <c r="B51" s="40" t="s">
        <v>139</v>
      </c>
      <c r="C51" s="40" t="s">
        <v>140</v>
      </c>
      <c r="D51" s="65" t="s">
        <v>141</v>
      </c>
      <c r="E51" s="56">
        <v>46157.0</v>
      </c>
      <c r="F51" s="57">
        <v>12500.0</v>
      </c>
      <c r="G51" s="57">
        <v>0.0</v>
      </c>
      <c r="H51" s="58"/>
      <c r="I51" s="60" t="s">
        <v>13</v>
      </c>
      <c r="J51" s="60" t="s">
        <v>31</v>
      </c>
    </row>
    <row r="52" ht="15.75" customHeight="1">
      <c r="A52" s="54"/>
      <c r="B52" s="40" t="s">
        <v>139</v>
      </c>
      <c r="C52" s="40" t="s">
        <v>140</v>
      </c>
      <c r="D52" s="65" t="s">
        <v>142</v>
      </c>
      <c r="E52" s="56">
        <v>46157.0</v>
      </c>
      <c r="F52" s="57">
        <v>12500.0</v>
      </c>
      <c r="G52" s="57">
        <v>0.0</v>
      </c>
      <c r="H52" s="58"/>
      <c r="I52" s="60" t="s">
        <v>13</v>
      </c>
      <c r="J52" s="60" t="s">
        <v>31</v>
      </c>
    </row>
    <row r="53" ht="15.75" customHeight="1">
      <c r="A53" s="54"/>
      <c r="B53" s="40" t="s">
        <v>143</v>
      </c>
      <c r="C53" s="40" t="s">
        <v>144</v>
      </c>
      <c r="D53" s="65" t="s">
        <v>145</v>
      </c>
      <c r="E53" s="56">
        <v>46156.0</v>
      </c>
      <c r="F53" s="57">
        <v>25000.0</v>
      </c>
      <c r="G53" s="57">
        <v>25000.0</v>
      </c>
      <c r="H53" s="58"/>
      <c r="I53" s="59"/>
      <c r="J53" s="60" t="s">
        <v>31</v>
      </c>
    </row>
    <row r="54" ht="15.75" customHeight="1">
      <c r="A54" s="54"/>
      <c r="B54" s="40" t="s">
        <v>146</v>
      </c>
      <c r="C54" s="40" t="s">
        <v>147</v>
      </c>
      <c r="D54" s="65" t="s">
        <v>148</v>
      </c>
      <c r="E54" s="56">
        <v>46156.0</v>
      </c>
      <c r="F54" s="58"/>
      <c r="G54" s="58"/>
      <c r="H54" s="58"/>
      <c r="I54" s="59"/>
      <c r="J54" s="60" t="s">
        <v>31</v>
      </c>
    </row>
    <row r="55" ht="15.75" customHeight="1">
      <c r="A55" s="46"/>
      <c r="B55" s="47" t="s">
        <v>149</v>
      </c>
      <c r="C55" s="47" t="s">
        <v>150</v>
      </c>
      <c r="D55" s="48" t="s">
        <v>151</v>
      </c>
      <c r="E55" s="49">
        <v>46155.0</v>
      </c>
      <c r="F55" s="50">
        <v>100000.0</v>
      </c>
      <c r="G55" s="50">
        <v>100000.0</v>
      </c>
      <c r="H55" s="50"/>
      <c r="I55" s="52" t="s">
        <v>48</v>
      </c>
      <c r="J55" s="52" t="s">
        <v>31</v>
      </c>
    </row>
    <row r="56" ht="15.75" customHeight="1">
      <c r="A56" s="46"/>
      <c r="B56" s="47" t="s">
        <v>149</v>
      </c>
      <c r="C56" s="47" t="s">
        <v>152</v>
      </c>
      <c r="D56" s="48" t="s">
        <v>151</v>
      </c>
      <c r="E56" s="49">
        <v>46155.0</v>
      </c>
      <c r="F56" s="50">
        <v>50000.0</v>
      </c>
      <c r="G56" s="50">
        <v>50000.0</v>
      </c>
      <c r="H56" s="50"/>
      <c r="I56" s="52" t="s">
        <v>48</v>
      </c>
      <c r="J56" s="52" t="s">
        <v>31</v>
      </c>
    </row>
    <row r="57" ht="15.75" customHeight="1">
      <c r="A57" s="39"/>
      <c r="B57" s="40" t="s">
        <v>153</v>
      </c>
      <c r="C57" s="40" t="s">
        <v>154</v>
      </c>
      <c r="D57" s="41" t="s">
        <v>155</v>
      </c>
      <c r="E57" s="42">
        <v>46158.0</v>
      </c>
      <c r="F57" s="43"/>
      <c r="G57" s="43"/>
      <c r="H57" s="43"/>
      <c r="I57" s="45" t="s">
        <v>13</v>
      </c>
      <c r="J57" s="45" t="s">
        <v>31</v>
      </c>
    </row>
    <row r="58" ht="15.75" customHeight="1">
      <c r="A58" s="39"/>
      <c r="B58" s="40" t="s">
        <v>156</v>
      </c>
      <c r="C58" s="40" t="s">
        <v>157</v>
      </c>
      <c r="D58" s="41" t="s">
        <v>158</v>
      </c>
      <c r="E58" s="42">
        <v>46157.0</v>
      </c>
      <c r="F58" s="43">
        <v>6000.0</v>
      </c>
      <c r="G58" s="43">
        <v>6000.0</v>
      </c>
      <c r="H58" s="43">
        <f>F58-G58</f>
        <v>0</v>
      </c>
      <c r="I58" s="45" t="s">
        <v>13</v>
      </c>
      <c r="J58" s="45" t="s">
        <v>31</v>
      </c>
    </row>
    <row r="59" ht="15.75" customHeight="1">
      <c r="A59" s="39"/>
      <c r="B59" s="40" t="s">
        <v>159</v>
      </c>
      <c r="C59" s="40" t="s">
        <v>160</v>
      </c>
      <c r="D59" s="41" t="s">
        <v>161</v>
      </c>
      <c r="E59" s="42">
        <v>46156.0</v>
      </c>
      <c r="F59" s="43">
        <v>24000.0</v>
      </c>
      <c r="G59" s="43"/>
      <c r="H59" s="43"/>
      <c r="I59" s="45" t="s">
        <v>13</v>
      </c>
      <c r="J59" s="45" t="s">
        <v>31</v>
      </c>
    </row>
    <row r="60" ht="15.75" customHeight="1">
      <c r="A60" s="39"/>
      <c r="B60" s="40" t="s">
        <v>159</v>
      </c>
      <c r="C60" s="40" t="s">
        <v>160</v>
      </c>
      <c r="D60" s="41" t="s">
        <v>162</v>
      </c>
      <c r="E60" s="42">
        <v>46156.0</v>
      </c>
      <c r="F60" s="43">
        <v>24000.0</v>
      </c>
      <c r="G60" s="43"/>
      <c r="H60" s="43"/>
      <c r="I60" s="45" t="s">
        <v>13</v>
      </c>
      <c r="J60" s="45" t="s">
        <v>31</v>
      </c>
    </row>
    <row r="61" ht="15.75" customHeight="1">
      <c r="A61" s="39"/>
      <c r="B61" s="40" t="s">
        <v>163</v>
      </c>
      <c r="C61" s="40" t="s">
        <v>164</v>
      </c>
      <c r="D61" s="66" t="s">
        <v>165</v>
      </c>
      <c r="E61" s="42">
        <v>46159.0</v>
      </c>
      <c r="F61" s="43">
        <v>38000.0</v>
      </c>
      <c r="G61" s="43">
        <v>38000.0</v>
      </c>
      <c r="H61" s="43"/>
      <c r="I61" s="44"/>
      <c r="J61" s="45" t="s">
        <v>31</v>
      </c>
    </row>
    <row r="62" ht="15.75" customHeight="1">
      <c r="A62" s="67"/>
      <c r="B62" s="18" t="s">
        <v>166</v>
      </c>
      <c r="C62" s="18" t="s">
        <v>167</v>
      </c>
      <c r="D62" s="26" t="s">
        <v>168</v>
      </c>
      <c r="E62" s="37"/>
      <c r="F62" s="38"/>
      <c r="G62" s="38"/>
      <c r="H62" s="38"/>
      <c r="I62" s="29"/>
      <c r="J62" s="29"/>
    </row>
    <row r="63" ht="15.75" customHeight="1">
      <c r="A63" s="39"/>
      <c r="B63" s="40" t="s">
        <v>169</v>
      </c>
      <c r="C63" s="40" t="s">
        <v>140</v>
      </c>
      <c r="D63" s="41" t="s">
        <v>170</v>
      </c>
      <c r="E63" s="42">
        <v>46157.0</v>
      </c>
      <c r="F63" s="43">
        <v>12500.0</v>
      </c>
      <c r="G63" s="43">
        <v>0.0</v>
      </c>
      <c r="H63" s="43"/>
      <c r="I63" s="45" t="s">
        <v>13</v>
      </c>
      <c r="J63" s="45" t="s">
        <v>31</v>
      </c>
    </row>
    <row r="64" ht="15.75" customHeight="1">
      <c r="A64" s="39"/>
      <c r="B64" s="40" t="s">
        <v>171</v>
      </c>
      <c r="C64" s="40" t="s">
        <v>160</v>
      </c>
      <c r="D64" s="41" t="s">
        <v>172</v>
      </c>
      <c r="E64" s="42">
        <v>46157.0</v>
      </c>
      <c r="F64" s="43">
        <f>12500*2</f>
        <v>25000</v>
      </c>
      <c r="G64" s="43">
        <v>0.0</v>
      </c>
      <c r="H64" s="43"/>
      <c r="I64" s="45" t="s">
        <v>48</v>
      </c>
      <c r="J64" s="45" t="s">
        <v>31</v>
      </c>
    </row>
    <row r="65" ht="15.75" customHeight="1">
      <c r="A65" s="39"/>
      <c r="B65" s="40" t="s">
        <v>173</v>
      </c>
      <c r="C65" s="40" t="s">
        <v>174</v>
      </c>
      <c r="D65" s="41" t="s">
        <v>175</v>
      </c>
      <c r="E65" s="42">
        <v>46158.0</v>
      </c>
      <c r="F65" s="43">
        <v>12500.0</v>
      </c>
      <c r="G65" s="43" t="s">
        <v>176</v>
      </c>
      <c r="H65" s="43"/>
      <c r="I65" s="45" t="s">
        <v>13</v>
      </c>
      <c r="J65" s="45" t="s">
        <v>31</v>
      </c>
    </row>
    <row r="66" ht="15.75" customHeight="1">
      <c r="A66" s="39"/>
      <c r="B66" s="40" t="s">
        <v>177</v>
      </c>
      <c r="C66" s="40" t="s">
        <v>140</v>
      </c>
      <c r="D66" s="41" t="s">
        <v>178</v>
      </c>
      <c r="E66" s="42">
        <v>46159.0</v>
      </c>
      <c r="F66" s="43">
        <v>12500.0</v>
      </c>
      <c r="G66" s="43"/>
      <c r="H66" s="43"/>
      <c r="I66" s="45" t="s">
        <v>48</v>
      </c>
      <c r="J66" s="45" t="s">
        <v>31</v>
      </c>
    </row>
    <row r="67" ht="15.75" customHeight="1">
      <c r="A67" s="39"/>
      <c r="B67" s="40" t="s">
        <v>179</v>
      </c>
      <c r="C67" s="40" t="s">
        <v>180</v>
      </c>
      <c r="D67" s="41" t="s">
        <v>181</v>
      </c>
      <c r="E67" s="42">
        <v>46161.0</v>
      </c>
      <c r="F67" s="43">
        <v>17500.0</v>
      </c>
      <c r="G67" s="43"/>
      <c r="H67" s="43"/>
      <c r="I67" s="45" t="s">
        <v>13</v>
      </c>
      <c r="J67" s="45" t="s">
        <v>31</v>
      </c>
    </row>
    <row r="68" ht="15.75" customHeight="1">
      <c r="A68" s="39"/>
      <c r="B68" s="40" t="s">
        <v>179</v>
      </c>
      <c r="C68" s="40" t="s">
        <v>182</v>
      </c>
      <c r="D68" s="41"/>
      <c r="E68" s="42">
        <v>46161.0</v>
      </c>
      <c r="F68" s="43">
        <v>12500.0</v>
      </c>
      <c r="G68" s="43"/>
      <c r="H68" s="43"/>
      <c r="I68" s="45" t="s">
        <v>13</v>
      </c>
      <c r="J68" s="45" t="s">
        <v>31</v>
      </c>
    </row>
    <row r="69" ht="15.75" customHeight="1">
      <c r="A69" s="39"/>
      <c r="B69" s="40" t="s">
        <v>183</v>
      </c>
      <c r="C69" s="40" t="s">
        <v>184</v>
      </c>
      <c r="D69" s="41"/>
      <c r="E69" s="42">
        <v>46161.0</v>
      </c>
      <c r="F69" s="43">
        <v>15500.0</v>
      </c>
      <c r="G69" s="43"/>
      <c r="H69" s="43"/>
      <c r="I69" s="45" t="s">
        <v>13</v>
      </c>
      <c r="J69" s="45" t="s">
        <v>31</v>
      </c>
    </row>
    <row r="70" ht="15.75" customHeight="1">
      <c r="A70" s="39"/>
      <c r="B70" s="40" t="s">
        <v>185</v>
      </c>
      <c r="C70" s="40" t="s">
        <v>186</v>
      </c>
      <c r="D70" s="41" t="s">
        <v>187</v>
      </c>
      <c r="E70" s="42">
        <v>46162.0</v>
      </c>
      <c r="F70" s="43">
        <v>12500.0</v>
      </c>
      <c r="G70" s="43">
        <v>25000.0</v>
      </c>
      <c r="H70" s="43"/>
      <c r="I70" s="45" t="s">
        <v>48</v>
      </c>
      <c r="J70" s="45" t="s">
        <v>31</v>
      </c>
    </row>
    <row r="71" ht="15.75" customHeight="1">
      <c r="A71" s="39"/>
      <c r="B71" s="40" t="s">
        <v>188</v>
      </c>
      <c r="C71" s="40" t="s">
        <v>189</v>
      </c>
      <c r="D71" s="41" t="s">
        <v>190</v>
      </c>
      <c r="E71" s="42">
        <v>46161.0</v>
      </c>
      <c r="F71" s="43">
        <v>7000.0</v>
      </c>
      <c r="G71" s="43"/>
      <c r="H71" s="43"/>
      <c r="I71" s="45" t="s">
        <v>48</v>
      </c>
      <c r="J71" s="45" t="s">
        <v>31</v>
      </c>
    </row>
    <row r="72" ht="15.75" customHeight="1">
      <c r="A72" s="39"/>
      <c r="B72" s="40" t="s">
        <v>191</v>
      </c>
      <c r="C72" s="40" t="s">
        <v>140</v>
      </c>
      <c r="D72" s="41" t="s">
        <v>192</v>
      </c>
      <c r="E72" s="42">
        <v>46161.0</v>
      </c>
      <c r="F72" s="43">
        <v>12500.0</v>
      </c>
      <c r="G72" s="43">
        <v>4000.0</v>
      </c>
      <c r="H72" s="43"/>
      <c r="I72" s="45" t="s">
        <v>48</v>
      </c>
      <c r="J72" s="45" t="s">
        <v>31</v>
      </c>
    </row>
    <row r="73" ht="15.75" customHeight="1">
      <c r="A73" s="39"/>
      <c r="B73" s="40" t="s">
        <v>193</v>
      </c>
      <c r="C73" s="40" t="s">
        <v>140</v>
      </c>
      <c r="D73" s="41" t="s">
        <v>194</v>
      </c>
      <c r="E73" s="42">
        <v>46161.0</v>
      </c>
      <c r="F73" s="43">
        <v>12500.0</v>
      </c>
      <c r="G73" s="43">
        <v>6500.0</v>
      </c>
      <c r="H73" s="43"/>
      <c r="I73" s="45" t="s">
        <v>48</v>
      </c>
      <c r="J73" s="45" t="s">
        <v>31</v>
      </c>
    </row>
    <row r="74" ht="15.75" customHeight="1">
      <c r="A74" s="39"/>
      <c r="B74" s="40" t="s">
        <v>193</v>
      </c>
      <c r="C74" s="40" t="s">
        <v>195</v>
      </c>
      <c r="D74" s="41" t="s">
        <v>196</v>
      </c>
      <c r="E74" s="42">
        <v>46163.0</v>
      </c>
      <c r="F74" s="43">
        <v>6000.0</v>
      </c>
      <c r="G74" s="43">
        <v>1500.0</v>
      </c>
      <c r="H74" s="43"/>
      <c r="I74" s="45" t="s">
        <v>13</v>
      </c>
      <c r="J74" s="45" t="s">
        <v>31</v>
      </c>
    </row>
    <row r="75" ht="15.75" customHeight="1">
      <c r="A75" s="39"/>
      <c r="B75" s="40" t="s">
        <v>197</v>
      </c>
      <c r="C75" s="40" t="s">
        <v>198</v>
      </c>
      <c r="D75" s="41"/>
      <c r="E75" s="42">
        <v>46162.0</v>
      </c>
      <c r="F75" s="43">
        <v>25000.0</v>
      </c>
      <c r="G75" s="43"/>
      <c r="H75" s="43"/>
      <c r="I75" s="45" t="s">
        <v>13</v>
      </c>
      <c r="J75" s="45" t="s">
        <v>31</v>
      </c>
    </row>
    <row r="76" ht="15.75" customHeight="1">
      <c r="A76" s="39"/>
      <c r="B76" s="40" t="s">
        <v>199</v>
      </c>
      <c r="C76" s="40" t="s">
        <v>189</v>
      </c>
      <c r="D76" s="41" t="s">
        <v>200</v>
      </c>
      <c r="E76" s="42">
        <v>46162.0</v>
      </c>
      <c r="F76" s="43">
        <v>6000.0</v>
      </c>
      <c r="G76" s="43"/>
      <c r="H76" s="43"/>
      <c r="I76" s="45" t="s">
        <v>13</v>
      </c>
      <c r="J76" s="45" t="s">
        <v>31</v>
      </c>
    </row>
    <row r="77" ht="15.75" customHeight="1">
      <c r="A77" s="39"/>
      <c r="B77" s="40" t="s">
        <v>201</v>
      </c>
      <c r="C77" s="40" t="s">
        <v>202</v>
      </c>
      <c r="D77" s="41" t="s">
        <v>203</v>
      </c>
      <c r="E77" s="42">
        <v>46170.0</v>
      </c>
      <c r="F77" s="43">
        <v>27000.0</v>
      </c>
      <c r="G77" s="43">
        <v>10000.0</v>
      </c>
      <c r="H77" s="43"/>
      <c r="I77" s="45" t="s">
        <v>13</v>
      </c>
      <c r="J77" s="45" t="s">
        <v>31</v>
      </c>
    </row>
    <row r="78" ht="15.75" customHeight="1">
      <c r="A78" s="39"/>
      <c r="B78" s="40" t="s">
        <v>204</v>
      </c>
      <c r="C78" s="40" t="s">
        <v>205</v>
      </c>
      <c r="D78" s="41" t="s">
        <v>206</v>
      </c>
      <c r="E78" s="42">
        <v>46164.0</v>
      </c>
      <c r="F78" s="43"/>
      <c r="G78" s="43"/>
      <c r="H78" s="43"/>
      <c r="I78" s="45" t="s">
        <v>13</v>
      </c>
      <c r="J78" s="45" t="s">
        <v>31</v>
      </c>
    </row>
    <row r="79" ht="15.75" customHeight="1">
      <c r="A79" s="67"/>
      <c r="B79" s="18" t="s">
        <v>207</v>
      </c>
      <c r="C79" s="5" t="s">
        <v>208</v>
      </c>
      <c r="D79" s="26"/>
      <c r="E79" s="37"/>
      <c r="F79" s="38"/>
      <c r="G79" s="38"/>
      <c r="H79" s="38"/>
      <c r="I79" s="28" t="s">
        <v>13</v>
      </c>
      <c r="J79" s="29"/>
    </row>
    <row r="80" ht="15.75" customHeight="1">
      <c r="A80" s="39"/>
      <c r="B80" s="40" t="s">
        <v>209</v>
      </c>
      <c r="C80" s="40" t="s">
        <v>210</v>
      </c>
      <c r="D80" s="41"/>
      <c r="E80" s="42">
        <v>46164.0</v>
      </c>
      <c r="F80" s="43">
        <v>12500.0</v>
      </c>
      <c r="G80" s="43">
        <v>6000.0</v>
      </c>
      <c r="H80" s="43"/>
      <c r="I80" s="44"/>
      <c r="J80" s="45" t="s">
        <v>31</v>
      </c>
    </row>
    <row r="81" ht="15.75" customHeight="1">
      <c r="A81" s="39"/>
      <c r="B81" s="40" t="s">
        <v>211</v>
      </c>
      <c r="C81" s="40" t="s">
        <v>212</v>
      </c>
      <c r="D81" s="41"/>
      <c r="E81" s="42"/>
      <c r="F81" s="43">
        <v>7000.0</v>
      </c>
      <c r="G81" s="43">
        <v>7000.0</v>
      </c>
      <c r="H81" s="43"/>
      <c r="I81" s="44"/>
      <c r="J81" s="45" t="s">
        <v>31</v>
      </c>
    </row>
    <row r="82" ht="15.75" customHeight="1">
      <c r="A82" s="39"/>
      <c r="B82" s="40" t="s">
        <v>211</v>
      </c>
      <c r="C82" s="40" t="s">
        <v>213</v>
      </c>
      <c r="D82" s="41"/>
      <c r="E82" s="42"/>
      <c r="F82" s="43">
        <v>7000.0</v>
      </c>
      <c r="G82" s="43">
        <v>0.0</v>
      </c>
      <c r="H82" s="43"/>
      <c r="I82" s="44"/>
      <c r="J82" s="45" t="s">
        <v>31</v>
      </c>
    </row>
    <row r="83" ht="15.75" customHeight="1">
      <c r="A83" s="39"/>
      <c r="B83" s="40" t="s">
        <v>214</v>
      </c>
      <c r="C83" s="40" t="s">
        <v>215</v>
      </c>
      <c r="D83" s="41" t="s">
        <v>216</v>
      </c>
      <c r="E83" s="42"/>
      <c r="F83" s="43">
        <v>12500.0</v>
      </c>
      <c r="G83" s="43">
        <v>6000.0</v>
      </c>
      <c r="H83" s="43"/>
      <c r="I83" s="44"/>
      <c r="J83" s="45" t="s">
        <v>31</v>
      </c>
    </row>
    <row r="84" ht="22.5" customHeight="1">
      <c r="A84" s="39"/>
      <c r="B84" s="40" t="s">
        <v>217</v>
      </c>
      <c r="C84" s="40" t="s">
        <v>218</v>
      </c>
      <c r="D84" s="41" t="s">
        <v>219</v>
      </c>
      <c r="E84" s="42">
        <v>46170.0</v>
      </c>
      <c r="F84" s="43">
        <v>22500.0</v>
      </c>
      <c r="G84" s="43">
        <v>0.0</v>
      </c>
      <c r="H84" s="43"/>
      <c r="I84" s="44"/>
      <c r="J84" s="45" t="s">
        <v>31</v>
      </c>
    </row>
    <row r="85" ht="22.5" customHeight="1">
      <c r="A85" s="39"/>
      <c r="B85" s="40" t="s">
        <v>220</v>
      </c>
      <c r="C85" s="40" t="s">
        <v>189</v>
      </c>
      <c r="D85" s="41" t="s">
        <v>221</v>
      </c>
      <c r="E85" s="42">
        <v>46170.0</v>
      </c>
      <c r="F85" s="43">
        <v>7000.0</v>
      </c>
      <c r="G85" s="43">
        <v>0.0</v>
      </c>
      <c r="H85" s="43">
        <v>7000.0</v>
      </c>
      <c r="I85" s="45" t="s">
        <v>48</v>
      </c>
      <c r="J85" s="45" t="s">
        <v>31</v>
      </c>
    </row>
    <row r="86" ht="22.5" customHeight="1">
      <c r="A86" s="39"/>
      <c r="B86" s="40" t="s">
        <v>222</v>
      </c>
      <c r="C86" s="40" t="s">
        <v>160</v>
      </c>
      <c r="D86" s="41" t="s">
        <v>223</v>
      </c>
      <c r="E86" s="42">
        <v>46170.0</v>
      </c>
      <c r="F86" s="43">
        <f>12500*2</f>
        <v>25000</v>
      </c>
      <c r="G86" s="43">
        <v>0.0</v>
      </c>
      <c r="H86" s="43">
        <v>25000.0</v>
      </c>
      <c r="I86" s="45" t="s">
        <v>48</v>
      </c>
      <c r="J86" s="45" t="s">
        <v>31</v>
      </c>
    </row>
    <row r="87" ht="22.5" customHeight="1">
      <c r="A87" s="39"/>
      <c r="B87" s="40" t="s">
        <v>224</v>
      </c>
      <c r="C87" s="40" t="s">
        <v>189</v>
      </c>
      <c r="D87" s="41" t="s">
        <v>225</v>
      </c>
      <c r="E87" s="42">
        <v>46170.0</v>
      </c>
      <c r="F87" s="43">
        <v>7000.0</v>
      </c>
      <c r="G87" s="43">
        <v>0.0</v>
      </c>
      <c r="H87" s="43">
        <v>7000.0</v>
      </c>
      <c r="I87" s="45" t="s">
        <v>48</v>
      </c>
      <c r="J87" s="45" t="s">
        <v>31</v>
      </c>
    </row>
    <row r="88" ht="22.5" customHeight="1">
      <c r="A88" s="39"/>
      <c r="B88" s="40" t="s">
        <v>226</v>
      </c>
      <c r="C88" s="40" t="s">
        <v>227</v>
      </c>
      <c r="D88" s="41" t="s">
        <v>228</v>
      </c>
      <c r="E88" s="42">
        <v>46170.0</v>
      </c>
      <c r="F88" s="43">
        <f>19000*4</f>
        <v>76000</v>
      </c>
      <c r="G88" s="43">
        <v>76000.0</v>
      </c>
      <c r="H88" s="43">
        <v>0.0</v>
      </c>
      <c r="I88" s="45" t="s">
        <v>13</v>
      </c>
      <c r="J88" s="45" t="s">
        <v>31</v>
      </c>
    </row>
    <row r="89" ht="22.5" customHeight="1">
      <c r="A89" s="39"/>
      <c r="B89" s="40" t="s">
        <v>229</v>
      </c>
      <c r="C89" s="40" t="s">
        <v>230</v>
      </c>
      <c r="D89" s="41" t="s">
        <v>231</v>
      </c>
      <c r="E89" s="42">
        <v>46170.0</v>
      </c>
      <c r="F89" s="43">
        <v>19000.0</v>
      </c>
      <c r="G89" s="43">
        <v>0.0</v>
      </c>
      <c r="H89" s="43">
        <v>19000.0</v>
      </c>
      <c r="I89" s="45" t="s">
        <v>48</v>
      </c>
      <c r="J89" s="44"/>
    </row>
    <row r="90" ht="22.5" customHeight="1">
      <c r="A90" s="39"/>
      <c r="B90" s="40" t="s">
        <v>232</v>
      </c>
      <c r="C90" s="40" t="s">
        <v>160</v>
      </c>
      <c r="D90" s="41" t="s">
        <v>233</v>
      </c>
      <c r="E90" s="42">
        <v>46170.0</v>
      </c>
      <c r="F90" s="43">
        <f>12500*2</f>
        <v>25000</v>
      </c>
      <c r="G90" s="43">
        <v>0.0</v>
      </c>
      <c r="H90" s="43">
        <v>25000.0</v>
      </c>
      <c r="I90" s="45" t="s">
        <v>13</v>
      </c>
      <c r="J90" s="45" t="s">
        <v>31</v>
      </c>
    </row>
    <row r="91" ht="22.5" customHeight="1">
      <c r="A91" s="39"/>
      <c r="B91" s="40" t="s">
        <v>234</v>
      </c>
      <c r="C91" s="40" t="s">
        <v>140</v>
      </c>
      <c r="D91" s="41" t="s">
        <v>235</v>
      </c>
      <c r="E91" s="42">
        <v>46170.0</v>
      </c>
      <c r="F91" s="43">
        <v>12500.0</v>
      </c>
      <c r="G91" s="43">
        <v>12500.0</v>
      </c>
      <c r="H91" s="43">
        <v>0.0</v>
      </c>
      <c r="I91" s="45" t="s">
        <v>13</v>
      </c>
      <c r="J91" s="45" t="s">
        <v>31</v>
      </c>
    </row>
    <row r="92" ht="22.5" customHeight="1">
      <c r="A92" s="39"/>
      <c r="B92" s="40" t="s">
        <v>236</v>
      </c>
      <c r="C92" s="40" t="s">
        <v>140</v>
      </c>
      <c r="D92" s="41" t="s">
        <v>237</v>
      </c>
      <c r="E92" s="42"/>
      <c r="F92" s="43">
        <f t="shared" ref="F92:F93" si="3">12500*2</f>
        <v>25000</v>
      </c>
      <c r="G92" s="43"/>
      <c r="H92" s="43"/>
      <c r="I92" s="44"/>
      <c r="J92" s="44"/>
    </row>
    <row r="93" ht="22.5" customHeight="1">
      <c r="A93" s="39"/>
      <c r="B93" s="40" t="s">
        <v>238</v>
      </c>
      <c r="C93" s="40" t="s">
        <v>239</v>
      </c>
      <c r="D93" s="41" t="s">
        <v>240</v>
      </c>
      <c r="E93" s="42">
        <v>46172.0</v>
      </c>
      <c r="F93" s="43">
        <f t="shared" si="3"/>
        <v>25000</v>
      </c>
      <c r="G93" s="43">
        <v>22500.0</v>
      </c>
      <c r="H93" s="43">
        <v>0.0</v>
      </c>
      <c r="I93" s="45" t="s">
        <v>13</v>
      </c>
      <c r="J93" s="45" t="s">
        <v>31</v>
      </c>
    </row>
    <row r="94" ht="22.5" customHeight="1">
      <c r="A94" s="39"/>
      <c r="B94" s="40" t="s">
        <v>241</v>
      </c>
      <c r="C94" s="40" t="s">
        <v>242</v>
      </c>
      <c r="D94" s="41" t="s">
        <v>243</v>
      </c>
      <c r="E94" s="42">
        <v>46171.0</v>
      </c>
      <c r="F94" s="43">
        <v>19000.0</v>
      </c>
      <c r="G94" s="43">
        <v>19000.0</v>
      </c>
      <c r="H94" s="43">
        <v>0.0</v>
      </c>
      <c r="I94" s="45" t="s">
        <v>13</v>
      </c>
      <c r="J94" s="45" t="s">
        <v>31</v>
      </c>
    </row>
    <row r="95" ht="22.5" customHeight="1">
      <c r="A95" s="46"/>
      <c r="B95" s="47" t="s">
        <v>244</v>
      </c>
      <c r="C95" s="47" t="s">
        <v>245</v>
      </c>
      <c r="D95" s="48"/>
      <c r="E95" s="49"/>
      <c r="F95" s="50">
        <f>7500*3</f>
        <v>22500</v>
      </c>
      <c r="G95" s="50"/>
      <c r="H95" s="50">
        <f>F95</f>
        <v>22500</v>
      </c>
      <c r="I95" s="51"/>
      <c r="J95" s="52" t="s">
        <v>31</v>
      </c>
    </row>
    <row r="96" ht="22.5" customHeight="1">
      <c r="A96" s="39"/>
      <c r="B96" s="40" t="s">
        <v>246</v>
      </c>
      <c r="C96" s="40" t="s">
        <v>247</v>
      </c>
      <c r="D96" s="41" t="s">
        <v>248</v>
      </c>
      <c r="E96" s="42">
        <v>46174.0</v>
      </c>
      <c r="F96" s="43">
        <v>12500.0</v>
      </c>
      <c r="G96" s="43">
        <v>7000.0</v>
      </c>
      <c r="H96" s="43"/>
      <c r="I96" s="44"/>
      <c r="J96" s="45" t="s">
        <v>31</v>
      </c>
    </row>
    <row r="97" ht="22.5" customHeight="1">
      <c r="A97" s="39"/>
      <c r="B97" s="40" t="s">
        <v>249</v>
      </c>
      <c r="C97" s="40" t="s">
        <v>250</v>
      </c>
      <c r="D97" s="41" t="s">
        <v>251</v>
      </c>
      <c r="E97" s="42"/>
      <c r="F97" s="43"/>
      <c r="G97" s="43"/>
      <c r="H97" s="43"/>
      <c r="I97" s="45" t="s">
        <v>48</v>
      </c>
      <c r="J97" s="45" t="s">
        <v>31</v>
      </c>
    </row>
    <row r="98" ht="22.5" customHeight="1">
      <c r="A98" s="39"/>
      <c r="B98" s="40" t="s">
        <v>249</v>
      </c>
      <c r="C98" s="40" t="s">
        <v>252</v>
      </c>
      <c r="D98" s="41"/>
      <c r="E98" s="42"/>
      <c r="F98" s="43"/>
      <c r="G98" s="43"/>
      <c r="H98" s="43"/>
      <c r="I98" s="44"/>
      <c r="J98" s="45" t="s">
        <v>31</v>
      </c>
    </row>
    <row r="99" ht="22.5" customHeight="1">
      <c r="A99" s="39"/>
      <c r="B99" s="40" t="s">
        <v>59</v>
      </c>
      <c r="C99" s="40" t="s">
        <v>253</v>
      </c>
      <c r="D99" s="41" t="s">
        <v>254</v>
      </c>
      <c r="E99" s="42"/>
      <c r="F99" s="43">
        <v>18500.0</v>
      </c>
      <c r="G99" s="43">
        <v>0.0</v>
      </c>
      <c r="H99" s="43"/>
      <c r="I99" s="45" t="s">
        <v>13</v>
      </c>
      <c r="J99" s="45" t="s">
        <v>31</v>
      </c>
    </row>
    <row r="100" ht="22.5" customHeight="1">
      <c r="A100" s="39"/>
      <c r="B100" s="40" t="s">
        <v>255</v>
      </c>
      <c r="C100" s="40" t="s">
        <v>256</v>
      </c>
      <c r="D100" s="41" t="s">
        <v>257</v>
      </c>
      <c r="E100" s="42">
        <v>46178.0</v>
      </c>
      <c r="F100" s="43">
        <f>12000*5</f>
        <v>60000</v>
      </c>
      <c r="G100" s="43">
        <v>60000.0</v>
      </c>
      <c r="H100" s="43">
        <f>F100-G100</f>
        <v>0</v>
      </c>
      <c r="I100" s="45" t="s">
        <v>13</v>
      </c>
      <c r="J100" s="45" t="s">
        <v>31</v>
      </c>
    </row>
    <row r="101" ht="22.5" customHeight="1">
      <c r="A101" s="39"/>
      <c r="B101" s="40" t="s">
        <v>222</v>
      </c>
      <c r="C101" s="40" t="s">
        <v>258</v>
      </c>
      <c r="D101" s="41" t="s">
        <v>259</v>
      </c>
      <c r="E101" s="42"/>
      <c r="F101" s="43"/>
      <c r="G101" s="43"/>
      <c r="H101" s="43"/>
      <c r="I101" s="44"/>
      <c r="J101" s="45" t="s">
        <v>31</v>
      </c>
    </row>
    <row r="102" ht="22.5" customHeight="1">
      <c r="A102" s="46"/>
      <c r="B102" s="47" t="s">
        <v>260</v>
      </c>
      <c r="C102" s="47" t="s">
        <v>261</v>
      </c>
      <c r="D102" s="48" t="s">
        <v>262</v>
      </c>
      <c r="E102" s="49">
        <v>46179.0</v>
      </c>
      <c r="F102" s="50">
        <f>8000+10000</f>
        <v>18000</v>
      </c>
      <c r="G102" s="50"/>
      <c r="H102" s="50"/>
      <c r="I102" s="51"/>
      <c r="J102" s="52" t="s">
        <v>31</v>
      </c>
    </row>
    <row r="103" ht="22.5" customHeight="1">
      <c r="A103" s="39"/>
      <c r="B103" s="40" t="s">
        <v>263</v>
      </c>
      <c r="C103" s="40" t="s">
        <v>264</v>
      </c>
      <c r="D103" s="41" t="s">
        <v>265</v>
      </c>
      <c r="E103" s="42">
        <v>46179.0</v>
      </c>
      <c r="F103" s="43">
        <v>27000.0</v>
      </c>
      <c r="G103" s="43">
        <v>13500.0</v>
      </c>
      <c r="H103" s="43">
        <f>F103-G103</f>
        <v>13500</v>
      </c>
      <c r="I103" s="45" t="s">
        <v>13</v>
      </c>
      <c r="J103" s="45" t="s">
        <v>31</v>
      </c>
    </row>
    <row r="104" ht="22.5" customHeight="1">
      <c r="A104" s="39"/>
      <c r="B104" s="40" t="s">
        <v>266</v>
      </c>
      <c r="C104" s="40" t="s">
        <v>267</v>
      </c>
      <c r="D104" s="41" t="s">
        <v>268</v>
      </c>
      <c r="E104" s="42">
        <v>46178.0</v>
      </c>
      <c r="F104" s="43">
        <v>22500.0</v>
      </c>
      <c r="G104" s="43">
        <v>0.0</v>
      </c>
      <c r="H104" s="43"/>
      <c r="I104" s="45" t="s">
        <v>48</v>
      </c>
      <c r="J104" s="45" t="s">
        <v>31</v>
      </c>
    </row>
    <row r="105" ht="22.5" customHeight="1">
      <c r="A105" s="68"/>
      <c r="B105" s="69" t="s">
        <v>269</v>
      </c>
      <c r="C105" s="69" t="s">
        <v>270</v>
      </c>
      <c r="D105" s="70" t="s">
        <v>271</v>
      </c>
      <c r="E105" s="71">
        <v>46185.0</v>
      </c>
      <c r="F105" s="72">
        <v>28500.0</v>
      </c>
      <c r="G105" s="72">
        <v>14000.0</v>
      </c>
      <c r="H105" s="72"/>
      <c r="I105" s="73" t="s">
        <v>13</v>
      </c>
      <c r="J105" s="74"/>
    </row>
    <row r="106" ht="22.5" customHeight="1">
      <c r="A106" s="46"/>
      <c r="B106" s="47" t="s">
        <v>272</v>
      </c>
      <c r="C106" s="47" t="s">
        <v>273</v>
      </c>
      <c r="D106" s="48"/>
      <c r="E106" s="49">
        <v>46193.0</v>
      </c>
      <c r="F106" s="50">
        <v>28000.0</v>
      </c>
      <c r="G106" s="50"/>
      <c r="H106" s="50"/>
      <c r="I106" s="51"/>
      <c r="J106" s="52" t="s">
        <v>31</v>
      </c>
    </row>
    <row r="107" ht="22.5" customHeight="1">
      <c r="A107" s="46"/>
      <c r="B107" s="47" t="s">
        <v>274</v>
      </c>
      <c r="C107" s="47" t="s">
        <v>275</v>
      </c>
      <c r="D107" s="48" t="s">
        <v>276</v>
      </c>
      <c r="E107" s="49">
        <v>46188.0</v>
      </c>
      <c r="F107" s="50">
        <v>54000.0</v>
      </c>
      <c r="G107" s="50">
        <v>27000.0</v>
      </c>
      <c r="H107" s="50">
        <f>F107-G107</f>
        <v>27000</v>
      </c>
      <c r="I107" s="52" t="s">
        <v>13</v>
      </c>
      <c r="J107" s="52" t="s">
        <v>31</v>
      </c>
    </row>
    <row r="108" ht="22.5" customHeight="1">
      <c r="A108" s="39"/>
      <c r="B108" s="40" t="s">
        <v>277</v>
      </c>
      <c r="C108" s="40" t="s">
        <v>278</v>
      </c>
      <c r="D108" s="41" t="s">
        <v>279</v>
      </c>
      <c r="E108" s="42"/>
      <c r="F108" s="43"/>
      <c r="G108" s="43"/>
      <c r="H108" s="43"/>
      <c r="I108" s="45" t="s">
        <v>13</v>
      </c>
      <c r="J108" s="45" t="s">
        <v>31</v>
      </c>
    </row>
    <row r="109" ht="22.5" customHeight="1">
      <c r="A109" s="39"/>
      <c r="B109" s="40" t="s">
        <v>280</v>
      </c>
      <c r="C109" s="40" t="s">
        <v>281</v>
      </c>
      <c r="D109" s="41" t="s">
        <v>282</v>
      </c>
      <c r="E109" s="42">
        <v>46183.0</v>
      </c>
      <c r="F109" s="43"/>
      <c r="G109" s="43"/>
      <c r="H109" s="43"/>
      <c r="I109" s="45" t="s">
        <v>48</v>
      </c>
      <c r="J109" s="45" t="s">
        <v>31</v>
      </c>
    </row>
    <row r="110" ht="22.5" customHeight="1">
      <c r="A110" s="39"/>
      <c r="B110" s="40" t="s">
        <v>280</v>
      </c>
      <c r="C110" s="40" t="s">
        <v>283</v>
      </c>
      <c r="D110" s="75" t="s">
        <v>284</v>
      </c>
      <c r="E110" s="42">
        <v>46183.0</v>
      </c>
      <c r="F110" s="43"/>
      <c r="G110" s="43"/>
      <c r="H110" s="43"/>
      <c r="I110" s="44"/>
      <c r="J110" s="45" t="s">
        <v>31</v>
      </c>
    </row>
    <row r="111" ht="22.5" customHeight="1">
      <c r="A111" s="39"/>
      <c r="B111" s="40" t="s">
        <v>285</v>
      </c>
      <c r="C111" s="40" t="s">
        <v>286</v>
      </c>
      <c r="D111" s="76" t="s">
        <v>287</v>
      </c>
      <c r="E111" s="42">
        <v>46182.0</v>
      </c>
      <c r="F111" s="43"/>
      <c r="G111" s="43">
        <v>18500.0</v>
      </c>
      <c r="H111" s="43"/>
      <c r="I111" s="45" t="s">
        <v>13</v>
      </c>
      <c r="J111" s="45" t="s">
        <v>31</v>
      </c>
    </row>
    <row r="112" ht="22.5" customHeight="1">
      <c r="A112" s="39"/>
      <c r="B112" s="40" t="s">
        <v>288</v>
      </c>
      <c r="C112" s="40" t="s">
        <v>289</v>
      </c>
      <c r="D112" s="76" t="s">
        <v>290</v>
      </c>
      <c r="E112" s="42">
        <v>46182.0</v>
      </c>
      <c r="F112" s="43">
        <v>27000.0</v>
      </c>
      <c r="G112" s="43">
        <v>13500.0</v>
      </c>
      <c r="H112" s="43"/>
      <c r="I112" s="45"/>
      <c r="J112" s="45" t="s">
        <v>31</v>
      </c>
    </row>
    <row r="113" ht="22.5" customHeight="1">
      <c r="A113" s="39"/>
      <c r="B113" s="40" t="s">
        <v>62</v>
      </c>
      <c r="C113" s="40" t="s">
        <v>291</v>
      </c>
      <c r="D113" s="75"/>
      <c r="E113" s="42"/>
      <c r="F113" s="43"/>
      <c r="G113" s="43"/>
      <c r="H113" s="43"/>
      <c r="I113" s="45"/>
      <c r="J113" s="45" t="s">
        <v>31</v>
      </c>
    </row>
    <row r="114" ht="22.5" customHeight="1">
      <c r="A114" s="39"/>
      <c r="B114" s="40" t="s">
        <v>62</v>
      </c>
      <c r="C114" s="40" t="s">
        <v>292</v>
      </c>
      <c r="D114" s="75" t="s">
        <v>293</v>
      </c>
      <c r="E114" s="42"/>
      <c r="F114" s="43"/>
      <c r="G114" s="43"/>
      <c r="H114" s="43"/>
      <c r="I114" s="45"/>
      <c r="J114" s="45" t="s">
        <v>31</v>
      </c>
    </row>
    <row r="115" ht="22.5" customHeight="1">
      <c r="A115" s="39"/>
      <c r="B115" s="40" t="s">
        <v>62</v>
      </c>
      <c r="C115" s="40" t="s">
        <v>294</v>
      </c>
      <c r="D115" s="76" t="s">
        <v>295</v>
      </c>
      <c r="E115" s="42">
        <v>46184.0</v>
      </c>
      <c r="F115" s="43"/>
      <c r="G115" s="43"/>
      <c r="H115" s="43"/>
      <c r="I115" s="45"/>
      <c r="J115" s="45" t="s">
        <v>31</v>
      </c>
    </row>
    <row r="116" ht="22.5" customHeight="1">
      <c r="A116" s="39"/>
      <c r="B116" s="40" t="s">
        <v>62</v>
      </c>
      <c r="C116" s="40" t="s">
        <v>296</v>
      </c>
      <c r="D116" s="77"/>
      <c r="E116" s="42"/>
      <c r="F116" s="43"/>
      <c r="G116" s="43"/>
      <c r="H116" s="43"/>
      <c r="I116" s="45"/>
      <c r="J116" s="45" t="s">
        <v>31</v>
      </c>
    </row>
    <row r="117" ht="22.5" customHeight="1">
      <c r="A117" s="39"/>
      <c r="B117" s="40" t="s">
        <v>297</v>
      </c>
      <c r="C117" s="40" t="s">
        <v>298</v>
      </c>
      <c r="D117" s="78" t="s">
        <v>299</v>
      </c>
      <c r="E117" s="42">
        <v>46184.0</v>
      </c>
      <c r="F117" s="43">
        <v>22500.0</v>
      </c>
      <c r="G117" s="43"/>
      <c r="H117" s="43"/>
      <c r="I117" s="45"/>
      <c r="J117" s="45" t="s">
        <v>31</v>
      </c>
    </row>
    <row r="118" ht="22.5" customHeight="1">
      <c r="A118" s="67"/>
      <c r="B118" s="18" t="s">
        <v>300</v>
      </c>
      <c r="C118" s="18" t="s">
        <v>301</v>
      </c>
      <c r="D118" s="79" t="s">
        <v>302</v>
      </c>
      <c r="E118" s="37"/>
      <c r="F118" s="38"/>
      <c r="G118" s="38"/>
      <c r="H118" s="38"/>
      <c r="I118" s="28"/>
      <c r="J118" s="29"/>
    </row>
    <row r="119" ht="22.5" customHeight="1">
      <c r="A119" s="67"/>
      <c r="B119" s="18" t="s">
        <v>303</v>
      </c>
      <c r="C119" s="18" t="s">
        <v>304</v>
      </c>
      <c r="D119" s="79" t="s">
        <v>305</v>
      </c>
      <c r="E119" s="37">
        <v>46184.0</v>
      </c>
      <c r="F119" s="38"/>
      <c r="G119" s="38"/>
      <c r="H119" s="38"/>
      <c r="I119" s="28"/>
      <c r="J119" s="29"/>
    </row>
    <row r="120" ht="22.5" customHeight="1">
      <c r="A120" s="39"/>
      <c r="B120" s="40" t="s">
        <v>306</v>
      </c>
      <c r="C120" s="40" t="s">
        <v>307</v>
      </c>
      <c r="D120" s="78" t="s">
        <v>308</v>
      </c>
      <c r="E120" s="42">
        <v>46185.0</v>
      </c>
      <c r="F120" s="43">
        <v>9500.0</v>
      </c>
      <c r="G120" s="43">
        <v>9500.0</v>
      </c>
      <c r="H120" s="43"/>
      <c r="I120" s="45"/>
      <c r="J120" s="45" t="s">
        <v>31</v>
      </c>
    </row>
    <row r="121" ht="22.5" customHeight="1">
      <c r="A121" s="39"/>
      <c r="B121" s="40" t="s">
        <v>309</v>
      </c>
      <c r="C121" s="40" t="s">
        <v>310</v>
      </c>
      <c r="D121" s="78" t="s">
        <v>311</v>
      </c>
      <c r="E121" s="42">
        <v>46184.0</v>
      </c>
      <c r="F121" s="43">
        <v>27000.0</v>
      </c>
      <c r="G121" s="43">
        <v>0.0</v>
      </c>
      <c r="H121" s="43"/>
      <c r="I121" s="45"/>
      <c r="J121" s="45" t="s">
        <v>31</v>
      </c>
    </row>
    <row r="122" ht="15.75" customHeight="1">
      <c r="A122" s="39"/>
      <c r="B122" s="40" t="s">
        <v>288</v>
      </c>
      <c r="C122" s="40" t="s">
        <v>312</v>
      </c>
      <c r="D122" s="78" t="s">
        <v>313</v>
      </c>
      <c r="E122" s="42"/>
      <c r="F122" s="43"/>
      <c r="G122" s="43"/>
      <c r="H122" s="43"/>
      <c r="I122" s="45"/>
      <c r="J122" s="45" t="s">
        <v>31</v>
      </c>
    </row>
    <row r="123" ht="15.75" customHeight="1">
      <c r="A123" s="39"/>
      <c r="B123" s="40" t="s">
        <v>314</v>
      </c>
      <c r="C123" s="40" t="s">
        <v>315</v>
      </c>
      <c r="D123" s="78" t="s">
        <v>316</v>
      </c>
      <c r="E123" s="42">
        <v>46185.0</v>
      </c>
      <c r="F123" s="43">
        <v>22500.0</v>
      </c>
      <c r="G123" s="43">
        <v>15500.0</v>
      </c>
      <c r="H123" s="43"/>
      <c r="I123" s="45"/>
      <c r="J123" s="45" t="s">
        <v>31</v>
      </c>
    </row>
    <row r="124" ht="15.75" customHeight="1">
      <c r="A124" s="67"/>
      <c r="B124" s="18" t="s">
        <v>317</v>
      </c>
      <c r="C124" s="18" t="s">
        <v>318</v>
      </c>
      <c r="D124" s="79" t="s">
        <v>319</v>
      </c>
      <c r="E124" s="37">
        <v>46188.0</v>
      </c>
      <c r="F124" s="38">
        <v>22500.0</v>
      </c>
      <c r="G124" s="38"/>
      <c r="H124" s="38"/>
      <c r="I124" s="28"/>
      <c r="J124" s="28" t="s">
        <v>14</v>
      </c>
    </row>
    <row r="125" ht="15.75" customHeight="1">
      <c r="A125" s="39"/>
      <c r="B125" s="40" t="s">
        <v>320</v>
      </c>
      <c r="C125" s="40" t="s">
        <v>321</v>
      </c>
      <c r="D125" s="78" t="s">
        <v>322</v>
      </c>
      <c r="E125" s="42">
        <v>46185.0</v>
      </c>
      <c r="F125" s="43">
        <v>27000.0</v>
      </c>
      <c r="G125" s="43">
        <v>17000.0</v>
      </c>
      <c r="H125" s="43"/>
      <c r="I125" s="45"/>
      <c r="J125" s="45" t="s">
        <v>31</v>
      </c>
    </row>
    <row r="126" ht="15.75" customHeight="1">
      <c r="A126" s="39"/>
      <c r="B126" s="40" t="s">
        <v>323</v>
      </c>
      <c r="C126" s="40" t="s">
        <v>324</v>
      </c>
      <c r="D126" s="78" t="s">
        <v>325</v>
      </c>
      <c r="E126" s="42">
        <v>46188.0</v>
      </c>
      <c r="F126" s="43">
        <v>27000.0</v>
      </c>
      <c r="G126" s="43">
        <v>12000.0</v>
      </c>
      <c r="H126" s="43">
        <f>F126-G126</f>
        <v>15000</v>
      </c>
      <c r="I126" s="45"/>
      <c r="J126" s="45" t="s">
        <v>31</v>
      </c>
    </row>
    <row r="127" ht="15.75" customHeight="1">
      <c r="A127" s="46"/>
      <c r="B127" s="47" t="s">
        <v>326</v>
      </c>
      <c r="C127" s="47" t="s">
        <v>327</v>
      </c>
      <c r="D127" s="80" t="s">
        <v>328</v>
      </c>
      <c r="E127" s="49">
        <v>46189.0</v>
      </c>
      <c r="F127" s="50">
        <v>14000.0</v>
      </c>
      <c r="G127" s="50">
        <v>0.0</v>
      </c>
      <c r="H127" s="50"/>
      <c r="I127" s="52"/>
      <c r="J127" s="52" t="s">
        <v>31</v>
      </c>
    </row>
    <row r="128" ht="15.75" customHeight="1">
      <c r="A128" s="39"/>
      <c r="B128" s="40" t="s">
        <v>329</v>
      </c>
      <c r="C128" s="40" t="s">
        <v>330</v>
      </c>
      <c r="D128" s="78" t="s">
        <v>331</v>
      </c>
      <c r="E128" s="42">
        <v>46190.0</v>
      </c>
      <c r="F128" s="43">
        <v>27000.0</v>
      </c>
      <c r="G128" s="43">
        <v>13500.0</v>
      </c>
      <c r="H128" s="43"/>
      <c r="I128" s="45"/>
      <c r="J128" s="45" t="s">
        <v>31</v>
      </c>
    </row>
    <row r="129" ht="15.75" customHeight="1">
      <c r="A129" s="39"/>
      <c r="B129" s="40" t="s">
        <v>332</v>
      </c>
      <c r="C129" s="40" t="s">
        <v>333</v>
      </c>
      <c r="D129" s="78" t="s">
        <v>334</v>
      </c>
      <c r="E129" s="42">
        <v>46191.0</v>
      </c>
      <c r="F129" s="43">
        <v>50000.0</v>
      </c>
      <c r="G129" s="43">
        <v>25000.0</v>
      </c>
      <c r="H129" s="43"/>
      <c r="I129" s="45" t="s">
        <v>13</v>
      </c>
      <c r="J129" s="45" t="s">
        <v>31</v>
      </c>
    </row>
    <row r="130" ht="15.75" customHeight="1">
      <c r="A130" s="39"/>
      <c r="B130" s="40" t="s">
        <v>249</v>
      </c>
      <c r="C130" s="40" t="s">
        <v>250</v>
      </c>
      <c r="D130" s="78" t="s">
        <v>335</v>
      </c>
      <c r="E130" s="42">
        <v>46191.0</v>
      </c>
      <c r="F130" s="43">
        <v>9500.0</v>
      </c>
      <c r="G130" s="43">
        <v>0.0</v>
      </c>
      <c r="H130" s="43"/>
      <c r="I130" s="45"/>
      <c r="J130" s="45" t="s">
        <v>31</v>
      </c>
    </row>
    <row r="131" ht="15.75" customHeight="1">
      <c r="A131" s="39"/>
      <c r="B131" s="40" t="s">
        <v>336</v>
      </c>
      <c r="C131" s="40" t="s">
        <v>337</v>
      </c>
      <c r="D131" s="78" t="s">
        <v>338</v>
      </c>
      <c r="E131" s="42">
        <v>46195.0</v>
      </c>
      <c r="F131" s="43">
        <v>50000.0</v>
      </c>
      <c r="G131" s="43"/>
      <c r="H131" s="43"/>
      <c r="I131" s="45"/>
      <c r="J131" s="45" t="s">
        <v>31</v>
      </c>
    </row>
    <row r="132" ht="15.75" customHeight="1">
      <c r="A132" s="39"/>
      <c r="B132" s="40" t="s">
        <v>339</v>
      </c>
      <c r="C132" s="40" t="s">
        <v>340</v>
      </c>
      <c r="D132" s="78" t="s">
        <v>341</v>
      </c>
      <c r="E132" s="42">
        <v>46190.0</v>
      </c>
      <c r="F132" s="43">
        <f>18000*15</f>
        <v>270000</v>
      </c>
      <c r="G132" s="43">
        <v>120000.0</v>
      </c>
      <c r="H132" s="43">
        <f t="shared" ref="H132:H140" si="4">F132-G132</f>
        <v>150000</v>
      </c>
      <c r="I132" s="45" t="s">
        <v>13</v>
      </c>
      <c r="J132" s="45" t="s">
        <v>31</v>
      </c>
    </row>
    <row r="133" ht="15.75" customHeight="1">
      <c r="A133" s="39"/>
      <c r="B133" s="40" t="s">
        <v>342</v>
      </c>
      <c r="C133" s="40" t="s">
        <v>343</v>
      </c>
      <c r="D133" s="78" t="s">
        <v>344</v>
      </c>
      <c r="E133" s="42">
        <v>46191.0</v>
      </c>
      <c r="F133" s="43">
        <f>18000*6</f>
        <v>108000</v>
      </c>
      <c r="G133" s="43">
        <v>0.0</v>
      </c>
      <c r="H133" s="43">
        <f t="shared" si="4"/>
        <v>108000</v>
      </c>
      <c r="I133" s="45" t="s">
        <v>13</v>
      </c>
      <c r="J133" s="45" t="s">
        <v>31</v>
      </c>
    </row>
    <row r="134" ht="15.75" customHeight="1">
      <c r="A134" s="39"/>
      <c r="B134" s="40" t="s">
        <v>345</v>
      </c>
      <c r="C134" s="40" t="s">
        <v>346</v>
      </c>
      <c r="D134" s="78" t="s">
        <v>347</v>
      </c>
      <c r="E134" s="42">
        <v>46189.0</v>
      </c>
      <c r="F134" s="43"/>
      <c r="G134" s="43"/>
      <c r="H134" s="43">
        <f t="shared" si="4"/>
        <v>0</v>
      </c>
      <c r="I134" s="44"/>
      <c r="J134" s="45" t="s">
        <v>31</v>
      </c>
    </row>
    <row r="135" ht="15.75" customHeight="1">
      <c r="A135" s="39"/>
      <c r="B135" s="40" t="s">
        <v>249</v>
      </c>
      <c r="C135" s="40" t="s">
        <v>348</v>
      </c>
      <c r="D135" s="78" t="s">
        <v>349</v>
      </c>
      <c r="E135" s="42">
        <v>46191.0</v>
      </c>
      <c r="F135" s="43"/>
      <c r="G135" s="43"/>
      <c r="H135" s="43">
        <f t="shared" si="4"/>
        <v>0</v>
      </c>
      <c r="I135" s="44"/>
      <c r="J135" s="45" t="s">
        <v>31</v>
      </c>
    </row>
    <row r="136" ht="15.75" customHeight="1">
      <c r="A136" s="39"/>
      <c r="B136" s="40" t="s">
        <v>249</v>
      </c>
      <c r="C136" s="40" t="s">
        <v>350</v>
      </c>
      <c r="D136" s="78" t="s">
        <v>351</v>
      </c>
      <c r="E136" s="42">
        <v>46191.0</v>
      </c>
      <c r="F136" s="43"/>
      <c r="G136" s="43"/>
      <c r="H136" s="43">
        <f t="shared" si="4"/>
        <v>0</v>
      </c>
      <c r="I136" s="44"/>
      <c r="J136" s="45" t="s">
        <v>31</v>
      </c>
    </row>
    <row r="137" ht="15.75" customHeight="1">
      <c r="A137" s="39"/>
      <c r="B137" s="40" t="s">
        <v>352</v>
      </c>
      <c r="C137" s="40" t="s">
        <v>353</v>
      </c>
      <c r="D137" s="78" t="s">
        <v>354</v>
      </c>
      <c r="E137" s="42">
        <v>46195.0</v>
      </c>
      <c r="F137" s="43">
        <v>27000.0</v>
      </c>
      <c r="G137" s="43">
        <v>0.0</v>
      </c>
      <c r="H137" s="43">
        <f t="shared" si="4"/>
        <v>27000</v>
      </c>
      <c r="I137" s="44"/>
      <c r="J137" s="45" t="s">
        <v>31</v>
      </c>
    </row>
    <row r="138" ht="15.75" customHeight="1">
      <c r="A138" s="39"/>
      <c r="B138" s="40" t="s">
        <v>355</v>
      </c>
      <c r="C138" s="40" t="s">
        <v>356</v>
      </c>
      <c r="D138" s="78" t="s">
        <v>357</v>
      </c>
      <c r="E138" s="42">
        <v>46189.0</v>
      </c>
      <c r="F138" s="43">
        <v>27000.0</v>
      </c>
      <c r="G138" s="43">
        <v>0.0</v>
      </c>
      <c r="H138" s="43">
        <f t="shared" si="4"/>
        <v>27000</v>
      </c>
      <c r="I138" s="44"/>
      <c r="J138" s="45" t="s">
        <v>31</v>
      </c>
    </row>
    <row r="139" ht="15.75" customHeight="1">
      <c r="A139" s="39"/>
      <c r="B139" s="40" t="s">
        <v>358</v>
      </c>
      <c r="C139" s="40" t="s">
        <v>359</v>
      </c>
      <c r="D139" s="78" t="s">
        <v>360</v>
      </c>
      <c r="E139" s="42">
        <v>46193.0</v>
      </c>
      <c r="F139" s="43">
        <v>27000.0</v>
      </c>
      <c r="G139" s="43">
        <v>15000.0</v>
      </c>
      <c r="H139" s="43">
        <f t="shared" si="4"/>
        <v>12000</v>
      </c>
      <c r="I139" s="45" t="s">
        <v>13</v>
      </c>
      <c r="J139" s="44"/>
    </row>
    <row r="140" ht="15.75" customHeight="1">
      <c r="A140" s="39"/>
      <c r="B140" s="40" t="s">
        <v>361</v>
      </c>
      <c r="C140" s="40" t="s">
        <v>362</v>
      </c>
      <c r="D140" s="78" t="s">
        <v>363</v>
      </c>
      <c r="E140" s="42">
        <v>46193.0</v>
      </c>
      <c r="F140" s="43">
        <v>28000.0</v>
      </c>
      <c r="G140" s="43"/>
      <c r="H140" s="43">
        <f t="shared" si="4"/>
        <v>28000</v>
      </c>
      <c r="I140" s="44"/>
      <c r="J140" s="44"/>
    </row>
    <row r="141" ht="15.75" customHeight="1">
      <c r="A141" s="39"/>
      <c r="B141" s="40"/>
      <c r="C141" s="40" t="s">
        <v>364</v>
      </c>
      <c r="D141" s="78" t="s">
        <v>365</v>
      </c>
      <c r="E141" s="42">
        <v>46193.0</v>
      </c>
      <c r="F141" s="43">
        <v>16500.0</v>
      </c>
      <c r="G141" s="43"/>
      <c r="H141" s="43"/>
      <c r="I141" s="45"/>
      <c r="J141" s="45" t="s">
        <v>31</v>
      </c>
    </row>
    <row r="142" ht="15.75" customHeight="1">
      <c r="A142" s="39"/>
      <c r="B142" s="40" t="s">
        <v>366</v>
      </c>
      <c r="C142" s="40" t="s">
        <v>367</v>
      </c>
      <c r="D142" s="78" t="s">
        <v>368</v>
      </c>
      <c r="E142" s="42"/>
      <c r="F142" s="43">
        <v>9500.0</v>
      </c>
      <c r="G142" s="43">
        <v>4000.0</v>
      </c>
      <c r="H142" s="43"/>
      <c r="I142" s="45"/>
      <c r="J142" s="45" t="s">
        <v>31</v>
      </c>
    </row>
    <row r="143" ht="15.75" customHeight="1">
      <c r="A143" s="46"/>
      <c r="B143" s="47" t="s">
        <v>369</v>
      </c>
      <c r="C143" s="47" t="s">
        <v>370</v>
      </c>
      <c r="D143" s="80" t="s">
        <v>371</v>
      </c>
      <c r="E143" s="49">
        <v>46191.0</v>
      </c>
      <c r="F143" s="50">
        <f>19000*2</f>
        <v>38000</v>
      </c>
      <c r="G143" s="50">
        <v>40000.0</v>
      </c>
      <c r="H143" s="50"/>
      <c r="I143" s="52" t="s">
        <v>13</v>
      </c>
      <c r="J143" s="52" t="s">
        <v>31</v>
      </c>
    </row>
    <row r="144" ht="15.75" customHeight="1">
      <c r="A144" s="39"/>
      <c r="B144" s="40" t="s">
        <v>372</v>
      </c>
      <c r="C144" s="40" t="s">
        <v>373</v>
      </c>
      <c r="D144" s="78" t="s">
        <v>374</v>
      </c>
      <c r="E144" s="42">
        <v>46191.0</v>
      </c>
      <c r="F144" s="43">
        <v>38000.0</v>
      </c>
      <c r="G144" s="43">
        <v>10000.0</v>
      </c>
      <c r="H144" s="43">
        <v>28000.0</v>
      </c>
      <c r="I144" s="45" t="s">
        <v>13</v>
      </c>
      <c r="J144" s="45" t="s">
        <v>31</v>
      </c>
    </row>
    <row r="145" ht="15.75" customHeight="1">
      <c r="A145" s="39"/>
      <c r="B145" s="40" t="s">
        <v>375</v>
      </c>
      <c r="C145" s="40" t="s">
        <v>376</v>
      </c>
      <c r="D145" s="78" t="s">
        <v>377</v>
      </c>
      <c r="E145" s="42">
        <v>46192.0</v>
      </c>
      <c r="F145" s="43">
        <f>27000*5</f>
        <v>135000</v>
      </c>
      <c r="G145" s="43"/>
      <c r="H145" s="43"/>
      <c r="I145" s="45" t="s">
        <v>48</v>
      </c>
      <c r="J145" s="45" t="s">
        <v>31</v>
      </c>
    </row>
    <row r="146" ht="15.75" customHeight="1">
      <c r="A146" s="46"/>
      <c r="B146" s="47" t="s">
        <v>378</v>
      </c>
      <c r="C146" s="47" t="s">
        <v>379</v>
      </c>
      <c r="D146" s="80" t="s">
        <v>380</v>
      </c>
      <c r="E146" s="49">
        <v>46191.0</v>
      </c>
      <c r="F146" s="50"/>
      <c r="G146" s="50"/>
      <c r="H146" s="50"/>
      <c r="I146" s="52"/>
      <c r="J146" s="52" t="s">
        <v>31</v>
      </c>
    </row>
    <row r="147" ht="15.75" customHeight="1">
      <c r="A147" s="4"/>
      <c r="B147" s="5" t="s">
        <v>378</v>
      </c>
      <c r="C147" s="5" t="s">
        <v>381</v>
      </c>
      <c r="D147" s="81" t="s">
        <v>382</v>
      </c>
      <c r="E147" s="82">
        <v>46191.0</v>
      </c>
      <c r="F147" s="83"/>
      <c r="G147" s="83"/>
      <c r="H147" s="83"/>
      <c r="I147" s="12"/>
      <c r="J147" s="84"/>
    </row>
    <row r="148" ht="15.75" customHeight="1">
      <c r="A148" s="85"/>
      <c r="B148" s="86" t="s">
        <v>383</v>
      </c>
      <c r="C148" s="86" t="s">
        <v>384</v>
      </c>
      <c r="D148" s="87" t="s">
        <v>385</v>
      </c>
      <c r="E148" s="88">
        <v>46193.0</v>
      </c>
      <c r="F148" s="89">
        <f>12500+8000</f>
        <v>20500</v>
      </c>
      <c r="G148" s="89">
        <v>6000.0</v>
      </c>
      <c r="H148" s="89">
        <f>F148-G148</f>
        <v>14500</v>
      </c>
      <c r="I148" s="90" t="s">
        <v>13</v>
      </c>
      <c r="J148" s="90" t="s">
        <v>14</v>
      </c>
    </row>
    <row r="149" ht="15.75" customHeight="1">
      <c r="A149" s="46"/>
      <c r="B149" s="47" t="s">
        <v>386</v>
      </c>
      <c r="C149" s="47" t="s">
        <v>387</v>
      </c>
      <c r="D149" s="80" t="s">
        <v>388</v>
      </c>
      <c r="E149" s="49">
        <v>46191.0</v>
      </c>
      <c r="F149" s="50">
        <v>9500.0</v>
      </c>
      <c r="G149" s="50"/>
      <c r="H149" s="50"/>
      <c r="I149" s="52" t="s">
        <v>48</v>
      </c>
      <c r="J149" s="52" t="s">
        <v>31</v>
      </c>
    </row>
    <row r="150" ht="15.75" customHeight="1">
      <c r="A150" s="68"/>
      <c r="B150" s="69" t="s">
        <v>389</v>
      </c>
      <c r="C150" s="69" t="s">
        <v>390</v>
      </c>
      <c r="D150" s="91" t="s">
        <v>391</v>
      </c>
      <c r="E150" s="71">
        <v>46195.0</v>
      </c>
      <c r="F150" s="72">
        <f>15500*2</f>
        <v>31000</v>
      </c>
      <c r="G150" s="72">
        <v>31000.0</v>
      </c>
      <c r="H150" s="72">
        <v>0.0</v>
      </c>
      <c r="I150" s="73" t="s">
        <v>13</v>
      </c>
      <c r="J150" s="73" t="s">
        <v>31</v>
      </c>
    </row>
    <row r="151" ht="15.75" customHeight="1">
      <c r="A151" s="39"/>
      <c r="B151" s="40" t="s">
        <v>392</v>
      </c>
      <c r="C151" s="40" t="s">
        <v>393</v>
      </c>
      <c r="D151" s="78" t="s">
        <v>394</v>
      </c>
      <c r="E151" s="42">
        <v>46192.0</v>
      </c>
      <c r="F151" s="43">
        <v>27000.0</v>
      </c>
      <c r="G151" s="43">
        <f>27000/2</f>
        <v>13500</v>
      </c>
      <c r="H151" s="43">
        <f>F151-G151</f>
        <v>13500</v>
      </c>
      <c r="I151" s="45" t="s">
        <v>13</v>
      </c>
      <c r="J151" s="45" t="s">
        <v>31</v>
      </c>
    </row>
    <row r="152" ht="15.75" customHeight="1">
      <c r="A152" s="85"/>
      <c r="B152" s="86" t="s">
        <v>395</v>
      </c>
      <c r="C152" s="86" t="s">
        <v>396</v>
      </c>
      <c r="D152" s="87" t="s">
        <v>397</v>
      </c>
      <c r="E152" s="88">
        <v>46193.0</v>
      </c>
      <c r="F152" s="89">
        <v>22500.0</v>
      </c>
      <c r="G152" s="89">
        <v>0.0</v>
      </c>
      <c r="H152" s="89">
        <v>22500.0</v>
      </c>
      <c r="I152" s="90" t="s">
        <v>13</v>
      </c>
      <c r="J152" s="90" t="s">
        <v>14</v>
      </c>
    </row>
    <row r="153" ht="15.75" customHeight="1">
      <c r="A153" s="39"/>
      <c r="B153" s="40" t="s">
        <v>398</v>
      </c>
      <c r="C153" s="40" t="s">
        <v>399</v>
      </c>
      <c r="D153" s="78" t="s">
        <v>400</v>
      </c>
      <c r="E153" s="42">
        <v>46192.0</v>
      </c>
      <c r="F153" s="43">
        <f>27000*6</f>
        <v>162000</v>
      </c>
      <c r="G153" s="43"/>
      <c r="H153" s="43"/>
      <c r="I153" s="45" t="s">
        <v>13</v>
      </c>
      <c r="J153" s="45" t="s">
        <v>31</v>
      </c>
    </row>
    <row r="154" ht="15.75" customHeight="1">
      <c r="A154" s="39"/>
      <c r="B154" s="78" t="s">
        <v>401</v>
      </c>
      <c r="C154" s="40" t="s">
        <v>402</v>
      </c>
      <c r="D154" s="78" t="s">
        <v>403</v>
      </c>
      <c r="E154" s="42">
        <v>46199.0</v>
      </c>
      <c r="F154" s="43">
        <v>28000.0</v>
      </c>
      <c r="G154" s="43">
        <v>14000.0</v>
      </c>
      <c r="H154" s="43"/>
      <c r="I154" s="45" t="s">
        <v>13</v>
      </c>
      <c r="J154" s="45" t="s">
        <v>31</v>
      </c>
    </row>
    <row r="155" ht="15.75" customHeight="1">
      <c r="A155" s="39"/>
      <c r="B155" s="40" t="s">
        <v>404</v>
      </c>
      <c r="C155" s="40" t="s">
        <v>405</v>
      </c>
      <c r="D155" s="78" t="s">
        <v>406</v>
      </c>
      <c r="E155" s="42">
        <v>46195.0</v>
      </c>
      <c r="F155" s="43">
        <v>27000.0</v>
      </c>
      <c r="G155" s="43"/>
      <c r="H155" s="43"/>
      <c r="I155" s="44"/>
      <c r="J155" s="44"/>
    </row>
    <row r="156" ht="15.75" customHeight="1">
      <c r="A156" s="39"/>
      <c r="B156" s="40" t="s">
        <v>407</v>
      </c>
      <c r="C156" s="40" t="s">
        <v>408</v>
      </c>
      <c r="D156" s="78" t="s">
        <v>409</v>
      </c>
      <c r="E156" s="42"/>
      <c r="F156" s="43">
        <v>12500.0</v>
      </c>
      <c r="G156" s="43">
        <v>6000.0</v>
      </c>
      <c r="H156" s="43"/>
      <c r="I156" s="45" t="s">
        <v>13</v>
      </c>
      <c r="J156" s="44"/>
    </row>
    <row r="157" ht="15.75" customHeight="1">
      <c r="A157" s="39"/>
      <c r="B157" s="40" t="s">
        <v>410</v>
      </c>
      <c r="C157" s="40" t="s">
        <v>411</v>
      </c>
      <c r="D157" s="78" t="s">
        <v>412</v>
      </c>
      <c r="E157" s="42"/>
      <c r="F157" s="43">
        <v>27000.0</v>
      </c>
      <c r="G157" s="43">
        <v>0.0</v>
      </c>
      <c r="H157" s="43"/>
      <c r="I157" s="45" t="s">
        <v>13</v>
      </c>
      <c r="J157" s="45" t="s">
        <v>31</v>
      </c>
    </row>
    <row r="158" ht="15.75" customHeight="1">
      <c r="A158" s="39"/>
      <c r="B158" s="40" t="s">
        <v>413</v>
      </c>
      <c r="C158" s="40" t="s">
        <v>414</v>
      </c>
      <c r="D158" s="78" t="s">
        <v>415</v>
      </c>
      <c r="E158" s="42">
        <v>46194.0</v>
      </c>
      <c r="F158" s="43">
        <v>22500.0</v>
      </c>
      <c r="G158" s="43">
        <v>0.0</v>
      </c>
      <c r="H158" s="43"/>
      <c r="I158" s="45" t="s">
        <v>13</v>
      </c>
      <c r="J158" s="45" t="s">
        <v>31</v>
      </c>
    </row>
    <row r="159" ht="15.75" customHeight="1">
      <c r="A159" s="46"/>
      <c r="B159" s="47" t="s">
        <v>416</v>
      </c>
      <c r="C159" s="47" t="s">
        <v>417</v>
      </c>
      <c r="D159" s="80" t="s">
        <v>418</v>
      </c>
      <c r="E159" s="49">
        <v>46193.0</v>
      </c>
      <c r="F159" s="50">
        <v>22500.0</v>
      </c>
      <c r="G159" s="50">
        <v>0.0</v>
      </c>
      <c r="H159" s="50"/>
      <c r="I159" s="52" t="s">
        <v>13</v>
      </c>
      <c r="J159" s="51"/>
    </row>
    <row r="160" ht="15.75" customHeight="1">
      <c r="A160" s="85"/>
      <c r="B160" s="86" t="s">
        <v>419</v>
      </c>
      <c r="C160" s="86" t="s">
        <v>420</v>
      </c>
      <c r="D160" s="87" t="s">
        <v>421</v>
      </c>
      <c r="E160" s="88">
        <v>46195.0</v>
      </c>
      <c r="F160" s="89">
        <f>19000*2</f>
        <v>38000</v>
      </c>
      <c r="G160" s="89">
        <v>0.0</v>
      </c>
      <c r="H160" s="89">
        <f>F160-G160</f>
        <v>38000</v>
      </c>
      <c r="I160" s="90" t="s">
        <v>13</v>
      </c>
      <c r="J160" s="92"/>
    </row>
    <row r="161" ht="15.75" customHeight="1">
      <c r="A161" s="93"/>
      <c r="B161" s="94" t="s">
        <v>422</v>
      </c>
      <c r="C161" s="94" t="s">
        <v>423</v>
      </c>
      <c r="D161" s="95" t="s">
        <v>424</v>
      </c>
      <c r="E161" s="96">
        <v>46200.0</v>
      </c>
      <c r="F161" s="97"/>
      <c r="G161" s="89"/>
      <c r="H161" s="89"/>
      <c r="I161" s="90"/>
      <c r="J161" s="90" t="s">
        <v>14</v>
      </c>
    </row>
    <row r="162" ht="15.75" customHeight="1">
      <c r="A162" s="39"/>
      <c r="B162" s="40" t="s">
        <v>425</v>
      </c>
      <c r="C162" s="40" t="s">
        <v>426</v>
      </c>
      <c r="D162" s="78" t="s">
        <v>427</v>
      </c>
      <c r="E162" s="42">
        <v>46200.0</v>
      </c>
      <c r="F162" s="43"/>
      <c r="G162" s="43"/>
      <c r="H162" s="43"/>
      <c r="I162" s="45"/>
      <c r="J162" s="45" t="s">
        <v>31</v>
      </c>
    </row>
    <row r="163" ht="15.75" customHeight="1">
      <c r="A163" s="39"/>
      <c r="B163" s="40" t="s">
        <v>428</v>
      </c>
      <c r="C163" s="40" t="s">
        <v>429</v>
      </c>
      <c r="D163" s="78" t="s">
        <v>430</v>
      </c>
      <c r="E163" s="42"/>
      <c r="F163" s="43"/>
      <c r="G163" s="43"/>
      <c r="H163" s="43"/>
      <c r="I163" s="45" t="s">
        <v>13</v>
      </c>
      <c r="J163" s="44"/>
    </row>
    <row r="164" ht="15.75" customHeight="1">
      <c r="A164" s="39"/>
      <c r="B164" s="40" t="s">
        <v>431</v>
      </c>
      <c r="C164" s="40" t="s">
        <v>432</v>
      </c>
      <c r="D164" s="78" t="s">
        <v>433</v>
      </c>
      <c r="E164" s="42">
        <v>46194.0</v>
      </c>
      <c r="F164" s="43">
        <v>0.0</v>
      </c>
      <c r="G164" s="43">
        <v>0.0</v>
      </c>
      <c r="H164" s="43">
        <v>0.0</v>
      </c>
      <c r="I164" s="45" t="s">
        <v>434</v>
      </c>
      <c r="J164" s="45" t="s">
        <v>31</v>
      </c>
    </row>
    <row r="165" ht="15.75" customHeight="1">
      <c r="A165" s="39"/>
      <c r="B165" s="40" t="s">
        <v>50</v>
      </c>
      <c r="C165" s="40" t="s">
        <v>435</v>
      </c>
      <c r="D165" s="78" t="s">
        <v>436</v>
      </c>
      <c r="E165" s="42">
        <v>46196.0</v>
      </c>
      <c r="F165" s="43">
        <v>9000.0</v>
      </c>
      <c r="G165" s="43"/>
      <c r="H165" s="43"/>
      <c r="I165" s="45"/>
      <c r="J165" s="45" t="s">
        <v>31</v>
      </c>
    </row>
    <row r="166" ht="15.75" customHeight="1">
      <c r="A166" s="67"/>
      <c r="B166" s="18" t="s">
        <v>437</v>
      </c>
      <c r="C166" s="18" t="s">
        <v>438</v>
      </c>
      <c r="D166" s="79" t="s">
        <v>439</v>
      </c>
      <c r="E166" s="37">
        <v>46198.0</v>
      </c>
      <c r="F166" s="38">
        <v>27000.0</v>
      </c>
      <c r="G166" s="38">
        <v>13500.0</v>
      </c>
      <c r="H166" s="38">
        <f t="shared" ref="H166:H167" si="5">F166-G166</f>
        <v>13500</v>
      </c>
      <c r="I166" s="28" t="s">
        <v>13</v>
      </c>
      <c r="J166" s="29"/>
    </row>
    <row r="167" ht="15.75" customHeight="1">
      <c r="A167" s="39"/>
      <c r="B167" s="40" t="s">
        <v>440</v>
      </c>
      <c r="C167" s="40" t="s">
        <v>441</v>
      </c>
      <c r="D167" s="78" t="s">
        <v>442</v>
      </c>
      <c r="E167" s="42">
        <v>46199.0</v>
      </c>
      <c r="F167" s="43">
        <v>58000.0</v>
      </c>
      <c r="G167" s="43">
        <v>29000.0</v>
      </c>
      <c r="H167" s="43">
        <f t="shared" si="5"/>
        <v>29000</v>
      </c>
      <c r="I167" s="45" t="s">
        <v>48</v>
      </c>
      <c r="J167" s="44"/>
    </row>
    <row r="168" ht="15.75" customHeight="1">
      <c r="A168" s="39"/>
      <c r="B168" s="40" t="s">
        <v>443</v>
      </c>
      <c r="C168" s="40" t="s">
        <v>376</v>
      </c>
      <c r="D168" s="78" t="s">
        <v>444</v>
      </c>
      <c r="E168" s="42">
        <v>46198.0</v>
      </c>
      <c r="F168" s="43">
        <v>28000.0</v>
      </c>
      <c r="G168" s="43">
        <v>28000.0</v>
      </c>
      <c r="H168" s="43">
        <v>0.0</v>
      </c>
      <c r="I168" s="45" t="s">
        <v>48</v>
      </c>
      <c r="J168" s="45" t="s">
        <v>31</v>
      </c>
    </row>
    <row r="169" ht="15.75" customHeight="1">
      <c r="A169" s="67"/>
      <c r="B169" s="18" t="s">
        <v>445</v>
      </c>
      <c r="C169" s="18" t="s">
        <v>446</v>
      </c>
      <c r="D169" s="79" t="s">
        <v>447</v>
      </c>
      <c r="E169" s="37">
        <v>46200.0</v>
      </c>
      <c r="F169" s="38"/>
      <c r="G169" s="38"/>
      <c r="H169" s="38"/>
      <c r="I169" s="29"/>
      <c r="J169" s="28" t="s">
        <v>14</v>
      </c>
    </row>
    <row r="170" ht="15.75" customHeight="1">
      <c r="A170" s="67"/>
      <c r="B170" s="18"/>
      <c r="C170" s="18" t="s">
        <v>448</v>
      </c>
      <c r="D170" s="79" t="s">
        <v>449</v>
      </c>
      <c r="E170" s="37">
        <v>46214.0</v>
      </c>
      <c r="F170" s="38"/>
      <c r="G170" s="38">
        <v>100000.0</v>
      </c>
      <c r="H170" s="38"/>
      <c r="I170" s="29"/>
      <c r="J170" s="29"/>
    </row>
    <row r="171" ht="15.75" customHeight="1">
      <c r="A171" s="39"/>
      <c r="B171" s="40" t="s">
        <v>450</v>
      </c>
      <c r="C171" s="40" t="s">
        <v>451</v>
      </c>
      <c r="D171" s="78" t="s">
        <v>452</v>
      </c>
      <c r="E171" s="42">
        <v>46199.0</v>
      </c>
      <c r="F171" s="43">
        <v>35000.0</v>
      </c>
      <c r="G171" s="43">
        <v>10000.0</v>
      </c>
      <c r="H171" s="43"/>
      <c r="I171" s="45" t="s">
        <v>48</v>
      </c>
      <c r="J171" s="45" t="s">
        <v>31</v>
      </c>
    </row>
    <row r="172" ht="15.75" customHeight="1">
      <c r="A172" s="46"/>
      <c r="B172" s="47" t="s">
        <v>453</v>
      </c>
      <c r="C172" s="47" t="s">
        <v>454</v>
      </c>
      <c r="D172" s="80" t="s">
        <v>455</v>
      </c>
      <c r="E172" s="49">
        <v>46198.0</v>
      </c>
      <c r="F172" s="50">
        <v>37500.0</v>
      </c>
      <c r="G172" s="50">
        <v>10000.0</v>
      </c>
      <c r="H172" s="50"/>
      <c r="I172" s="51"/>
      <c r="J172" s="51"/>
    </row>
    <row r="173" ht="15.75" customHeight="1">
      <c r="A173" s="67"/>
      <c r="B173" s="18" t="s">
        <v>456</v>
      </c>
      <c r="C173" s="18" t="s">
        <v>457</v>
      </c>
      <c r="D173" s="79" t="s">
        <v>458</v>
      </c>
      <c r="E173" s="37"/>
      <c r="F173" s="38"/>
      <c r="G173" s="38"/>
      <c r="H173" s="38"/>
      <c r="I173" s="29"/>
      <c r="J173" s="29"/>
    </row>
    <row r="174" ht="15.75" customHeight="1">
      <c r="A174" s="39"/>
      <c r="B174" s="40" t="s">
        <v>459</v>
      </c>
      <c r="C174" s="40" t="s">
        <v>460</v>
      </c>
      <c r="D174" s="78"/>
      <c r="E174" s="42">
        <v>46199.0</v>
      </c>
      <c r="F174" s="43">
        <v>16500.0</v>
      </c>
      <c r="G174" s="43"/>
      <c r="H174" s="43"/>
      <c r="I174" s="44"/>
      <c r="J174" s="45" t="s">
        <v>31</v>
      </c>
    </row>
    <row r="175" ht="15.75" customHeight="1">
      <c r="A175" s="67"/>
      <c r="B175" s="18" t="s">
        <v>461</v>
      </c>
      <c r="C175" s="18" t="s">
        <v>462</v>
      </c>
      <c r="D175" s="79" t="s">
        <v>463</v>
      </c>
      <c r="E175" s="37">
        <v>46198.0</v>
      </c>
      <c r="F175" s="38">
        <v>13500.0</v>
      </c>
      <c r="G175" s="38"/>
      <c r="H175" s="38"/>
      <c r="I175" s="28"/>
      <c r="J175" s="28" t="s">
        <v>14</v>
      </c>
    </row>
    <row r="176" ht="15.75" customHeight="1">
      <c r="A176" s="67"/>
      <c r="B176" s="18" t="s">
        <v>464</v>
      </c>
      <c r="C176" s="18" t="s">
        <v>465</v>
      </c>
      <c r="D176" s="79" t="s">
        <v>466</v>
      </c>
      <c r="E176" s="37">
        <v>46203.0</v>
      </c>
      <c r="F176" s="38">
        <v>31000.0</v>
      </c>
      <c r="G176" s="38">
        <v>10000.0</v>
      </c>
      <c r="H176" s="38">
        <f t="shared" ref="H176:H177" si="6">F176-G176</f>
        <v>21000</v>
      </c>
      <c r="I176" s="28" t="s">
        <v>13</v>
      </c>
      <c r="J176" s="29"/>
    </row>
    <row r="177" ht="15.75" customHeight="1">
      <c r="A177" s="67"/>
      <c r="B177" s="18" t="s">
        <v>467</v>
      </c>
      <c r="C177" s="18" t="s">
        <v>376</v>
      </c>
      <c r="D177" s="79" t="s">
        <v>468</v>
      </c>
      <c r="E177" s="37">
        <v>46202.0</v>
      </c>
      <c r="F177" s="38">
        <v>27000.0</v>
      </c>
      <c r="G177" s="38">
        <v>10000.0</v>
      </c>
      <c r="H177" s="38">
        <f t="shared" si="6"/>
        <v>17000</v>
      </c>
      <c r="I177" s="28" t="s">
        <v>13</v>
      </c>
      <c r="J177" s="29"/>
    </row>
    <row r="178" ht="15.75" customHeight="1">
      <c r="A178" s="67"/>
      <c r="B178" s="18" t="s">
        <v>469</v>
      </c>
      <c r="C178" s="18" t="s">
        <v>470</v>
      </c>
      <c r="D178" s="79"/>
      <c r="E178" s="37"/>
      <c r="F178" s="38"/>
      <c r="G178" s="38"/>
      <c r="H178" s="38"/>
      <c r="I178" s="29"/>
      <c r="J178" s="29"/>
    </row>
    <row r="179" ht="15.75" customHeight="1">
      <c r="A179" s="67"/>
      <c r="B179" s="18" t="s">
        <v>471</v>
      </c>
      <c r="C179" s="18" t="s">
        <v>472</v>
      </c>
      <c r="D179" s="79" t="s">
        <v>473</v>
      </c>
      <c r="E179" s="37">
        <v>46203.0</v>
      </c>
      <c r="F179" s="38">
        <v>15500.0</v>
      </c>
      <c r="G179" s="38">
        <v>0.0</v>
      </c>
      <c r="H179" s="38">
        <f t="shared" ref="H179:H180" si="7">F179-G179</f>
        <v>15500</v>
      </c>
      <c r="I179" s="28" t="s">
        <v>434</v>
      </c>
      <c r="J179" s="29"/>
    </row>
    <row r="180" ht="15.75" customHeight="1">
      <c r="A180" s="67"/>
      <c r="B180" s="18" t="s">
        <v>474</v>
      </c>
      <c r="C180" s="18" t="s">
        <v>475</v>
      </c>
      <c r="D180" s="79" t="s">
        <v>476</v>
      </c>
      <c r="E180" s="37">
        <v>46201.0</v>
      </c>
      <c r="F180" s="38">
        <f>30000</f>
        <v>30000</v>
      </c>
      <c r="G180" s="38">
        <v>15000.0</v>
      </c>
      <c r="H180" s="38">
        <f t="shared" si="7"/>
        <v>15000</v>
      </c>
      <c r="I180" s="28" t="s">
        <v>13</v>
      </c>
      <c r="J180" s="29"/>
    </row>
    <row r="181" ht="15.75" customHeight="1">
      <c r="A181" s="67"/>
      <c r="B181" s="18"/>
      <c r="C181" s="18"/>
      <c r="D181" s="79"/>
      <c r="E181" s="37"/>
      <c r="F181" s="38"/>
      <c r="G181" s="38"/>
      <c r="H181" s="38"/>
      <c r="I181" s="29"/>
      <c r="J181" s="29"/>
    </row>
    <row r="182" ht="15.75" customHeight="1">
      <c r="A182" s="67"/>
      <c r="B182" s="18"/>
      <c r="C182" s="18"/>
      <c r="D182" s="79"/>
      <c r="E182" s="37"/>
      <c r="F182" s="38"/>
      <c r="G182" s="38"/>
      <c r="H182" s="38"/>
      <c r="I182" s="28"/>
      <c r="J182" s="29"/>
    </row>
    <row r="183" ht="15.75" customHeight="1">
      <c r="A183" s="98"/>
      <c r="B183" s="98"/>
      <c r="C183" s="98"/>
      <c r="D183" s="99"/>
      <c r="E183" s="100"/>
      <c r="F183" s="101"/>
      <c r="G183" s="101"/>
      <c r="H183" s="101"/>
      <c r="I183" s="98"/>
      <c r="J183" s="98"/>
    </row>
    <row r="184" ht="15.75" customHeight="1">
      <c r="A184" s="98"/>
      <c r="B184" s="98"/>
      <c r="C184" s="98"/>
      <c r="D184" s="99"/>
      <c r="E184" s="100"/>
      <c r="F184" s="101"/>
      <c r="G184" s="101"/>
      <c r="H184" s="101"/>
      <c r="I184" s="98"/>
      <c r="J184" s="98"/>
    </row>
    <row r="185" ht="15.75" customHeight="1">
      <c r="A185" s="98"/>
      <c r="B185" s="98"/>
      <c r="C185" s="98"/>
      <c r="D185" s="99"/>
      <c r="E185" s="100"/>
      <c r="F185" s="101"/>
      <c r="G185" s="101"/>
      <c r="H185" s="101"/>
      <c r="I185" s="98"/>
      <c r="J185" s="98"/>
    </row>
    <row r="186" ht="15.75" customHeight="1">
      <c r="A186" s="98"/>
      <c r="B186" s="98"/>
      <c r="C186" s="98"/>
      <c r="D186" s="99"/>
      <c r="E186" s="100"/>
      <c r="F186" s="101"/>
      <c r="G186" s="101"/>
      <c r="H186" s="101"/>
      <c r="I186" s="98"/>
      <c r="J186" s="98"/>
    </row>
    <row r="187" ht="15.75" customHeight="1">
      <c r="A187" s="98"/>
      <c r="B187" s="98"/>
      <c r="C187" s="98"/>
      <c r="D187" s="99"/>
      <c r="E187" s="100"/>
      <c r="F187" s="101"/>
      <c r="G187" s="101"/>
      <c r="H187" s="101"/>
      <c r="I187" s="98"/>
      <c r="J187" s="98"/>
    </row>
    <row r="188" ht="15.75" customHeight="1">
      <c r="A188" s="98"/>
      <c r="B188" s="98"/>
      <c r="C188" s="98"/>
      <c r="D188" s="99"/>
      <c r="E188" s="100"/>
      <c r="F188" s="101"/>
      <c r="G188" s="101"/>
      <c r="H188" s="101"/>
      <c r="I188" s="98"/>
      <c r="J188" s="98"/>
    </row>
    <row r="189" ht="15.75" customHeight="1">
      <c r="A189" s="98"/>
      <c r="B189" s="98"/>
      <c r="C189" s="98"/>
      <c r="D189" s="99"/>
      <c r="E189" s="100"/>
      <c r="F189" s="101"/>
      <c r="G189" s="101"/>
      <c r="H189" s="101"/>
      <c r="I189" s="98"/>
      <c r="J189" s="98"/>
    </row>
    <row r="190" ht="15.75" customHeight="1">
      <c r="A190" s="98"/>
      <c r="B190" s="98"/>
      <c r="C190" s="98"/>
      <c r="D190" s="99"/>
      <c r="E190" s="100"/>
      <c r="F190" s="101"/>
      <c r="G190" s="101"/>
      <c r="H190" s="101"/>
      <c r="I190" s="98"/>
      <c r="J190" s="98"/>
    </row>
    <row r="191" ht="15.75" customHeight="1">
      <c r="A191" s="98"/>
      <c r="B191" s="98"/>
      <c r="C191" s="98"/>
      <c r="D191" s="99"/>
      <c r="E191" s="100"/>
      <c r="F191" s="101"/>
      <c r="G191" s="101"/>
      <c r="H191" s="101"/>
      <c r="I191" s="98"/>
      <c r="J191" s="98"/>
    </row>
    <row r="192" ht="15.75" customHeight="1">
      <c r="A192" s="98"/>
      <c r="B192" s="98"/>
      <c r="C192" s="98"/>
      <c r="D192" s="99"/>
      <c r="E192" s="100"/>
      <c r="F192" s="101"/>
      <c r="G192" s="101"/>
      <c r="H192" s="101"/>
      <c r="I192" s="98"/>
      <c r="J192" s="98"/>
    </row>
    <row r="193" ht="15.75" customHeight="1">
      <c r="A193" s="98"/>
      <c r="B193" s="98"/>
      <c r="C193" s="98"/>
      <c r="D193" s="99"/>
      <c r="E193" s="100"/>
      <c r="F193" s="101"/>
      <c r="G193" s="101"/>
      <c r="H193" s="101"/>
      <c r="I193" s="98"/>
      <c r="J193" s="98"/>
    </row>
    <row r="194" ht="15.75" customHeight="1">
      <c r="A194" s="98"/>
      <c r="B194" s="98"/>
      <c r="C194" s="98"/>
      <c r="D194" s="99"/>
      <c r="E194" s="100"/>
      <c r="F194" s="101"/>
      <c r="G194" s="101"/>
      <c r="H194" s="101"/>
      <c r="I194" s="98"/>
      <c r="J194" s="98"/>
    </row>
    <row r="195" ht="15.75" customHeight="1">
      <c r="A195" s="98"/>
      <c r="B195" s="98"/>
      <c r="C195" s="98"/>
      <c r="D195" s="99"/>
      <c r="E195" s="100"/>
      <c r="F195" s="101"/>
      <c r="G195" s="101"/>
      <c r="H195" s="101"/>
      <c r="I195" s="98"/>
      <c r="J195" s="98"/>
    </row>
    <row r="196" ht="15.75" customHeight="1">
      <c r="A196" s="98"/>
      <c r="B196" s="98"/>
      <c r="C196" s="98"/>
      <c r="D196" s="99"/>
      <c r="E196" s="100"/>
      <c r="F196" s="101"/>
      <c r="G196" s="101"/>
      <c r="H196" s="101"/>
      <c r="I196" s="98"/>
      <c r="J196" s="98"/>
    </row>
    <row r="197" ht="15.75" customHeight="1">
      <c r="A197" s="98"/>
      <c r="B197" s="98"/>
      <c r="C197" s="98"/>
      <c r="D197" s="99"/>
      <c r="E197" s="100"/>
      <c r="F197" s="101"/>
      <c r="G197" s="101"/>
      <c r="H197" s="101"/>
      <c r="I197" s="98"/>
      <c r="J197" s="98"/>
    </row>
    <row r="198" ht="15.75" customHeight="1">
      <c r="A198" s="98"/>
      <c r="B198" s="98"/>
      <c r="C198" s="98"/>
      <c r="D198" s="99"/>
      <c r="E198" s="100"/>
      <c r="F198" s="101"/>
      <c r="G198" s="101"/>
      <c r="H198" s="101"/>
      <c r="I198" s="98"/>
      <c r="J198" s="98"/>
    </row>
    <row r="199" ht="15.75" customHeight="1">
      <c r="A199" s="98"/>
      <c r="B199" s="98"/>
      <c r="C199" s="98"/>
      <c r="D199" s="99"/>
      <c r="E199" s="100"/>
      <c r="F199" s="101"/>
      <c r="G199" s="101"/>
      <c r="H199" s="101"/>
      <c r="I199" s="98"/>
      <c r="J199" s="98"/>
    </row>
    <row r="200" ht="15.75" customHeight="1">
      <c r="A200" s="98"/>
      <c r="B200" s="98"/>
      <c r="C200" s="98"/>
      <c r="D200" s="99"/>
      <c r="E200" s="100"/>
      <c r="F200" s="101"/>
      <c r="G200" s="101"/>
      <c r="H200" s="101"/>
      <c r="I200" s="98"/>
      <c r="J200" s="98"/>
    </row>
    <row r="201" ht="15.75" customHeight="1">
      <c r="A201" s="98"/>
      <c r="B201" s="98"/>
      <c r="C201" s="98"/>
      <c r="D201" s="99"/>
      <c r="E201" s="100"/>
      <c r="F201" s="101"/>
      <c r="G201" s="101"/>
      <c r="H201" s="101"/>
      <c r="I201" s="98"/>
      <c r="J201" s="98"/>
    </row>
    <row r="202" ht="15.75" customHeight="1">
      <c r="A202" s="98"/>
      <c r="B202" s="98"/>
      <c r="C202" s="98"/>
      <c r="D202" s="99"/>
      <c r="E202" s="100"/>
      <c r="F202" s="101"/>
      <c r="G202" s="101"/>
      <c r="H202" s="101"/>
      <c r="I202" s="98"/>
      <c r="J202" s="98"/>
    </row>
    <row r="203" ht="15.75" customHeight="1">
      <c r="A203" s="98"/>
      <c r="B203" s="98"/>
      <c r="C203" s="98"/>
      <c r="D203" s="99"/>
      <c r="E203" s="100"/>
      <c r="F203" s="101"/>
      <c r="G203" s="101"/>
      <c r="H203" s="101"/>
      <c r="I203" s="98"/>
      <c r="J203" s="98"/>
    </row>
    <row r="204" ht="15.75" customHeight="1">
      <c r="A204" s="98"/>
      <c r="B204" s="98"/>
      <c r="C204" s="98"/>
      <c r="D204" s="99"/>
      <c r="E204" s="100"/>
      <c r="F204" s="101"/>
      <c r="G204" s="101"/>
      <c r="H204" s="101"/>
      <c r="I204" s="98"/>
      <c r="J204" s="98"/>
    </row>
    <row r="205" ht="15.75" customHeight="1">
      <c r="A205" s="98"/>
      <c r="B205" s="98"/>
      <c r="C205" s="98"/>
      <c r="D205" s="99"/>
      <c r="E205" s="100"/>
      <c r="F205" s="101"/>
      <c r="G205" s="101"/>
      <c r="H205" s="101"/>
      <c r="I205" s="98"/>
      <c r="J205" s="98"/>
    </row>
    <row r="206" ht="15.75" customHeight="1">
      <c r="A206" s="98"/>
      <c r="B206" s="98"/>
      <c r="C206" s="98"/>
      <c r="D206" s="99"/>
      <c r="E206" s="100"/>
      <c r="F206" s="101"/>
      <c r="G206" s="101"/>
      <c r="H206" s="101"/>
      <c r="I206" s="98"/>
      <c r="J206" s="98"/>
    </row>
    <row r="207" ht="15.75" customHeight="1">
      <c r="A207" s="98"/>
      <c r="B207" s="98"/>
      <c r="C207" s="98"/>
      <c r="D207" s="99"/>
      <c r="E207" s="100"/>
      <c r="F207" s="101"/>
      <c r="G207" s="101"/>
      <c r="H207" s="101"/>
      <c r="I207" s="98"/>
      <c r="J207" s="98"/>
    </row>
    <row r="208" ht="15.75" customHeight="1">
      <c r="A208" s="98"/>
      <c r="B208" s="98"/>
      <c r="C208" s="98"/>
      <c r="D208" s="99"/>
      <c r="E208" s="100"/>
      <c r="F208" s="101"/>
      <c r="G208" s="101"/>
      <c r="H208" s="101"/>
      <c r="I208" s="98"/>
      <c r="J208" s="98"/>
    </row>
    <row r="209" ht="15.75" customHeight="1">
      <c r="A209" s="98"/>
      <c r="B209" s="98"/>
      <c r="C209" s="98"/>
      <c r="D209" s="99"/>
      <c r="E209" s="100"/>
      <c r="F209" s="101"/>
      <c r="G209" s="101"/>
      <c r="H209" s="101"/>
      <c r="I209" s="98"/>
      <c r="J209" s="98"/>
    </row>
    <row r="210" ht="15.75" customHeight="1">
      <c r="A210" s="98"/>
      <c r="B210" s="98"/>
      <c r="C210" s="98"/>
      <c r="D210" s="99"/>
      <c r="E210" s="100"/>
      <c r="F210" s="101"/>
      <c r="G210" s="101"/>
      <c r="H210" s="101"/>
      <c r="I210" s="98"/>
      <c r="J210" s="98"/>
    </row>
    <row r="211" ht="15.75" customHeight="1">
      <c r="A211" s="98"/>
      <c r="B211" s="98"/>
      <c r="C211" s="98"/>
      <c r="D211" s="99"/>
      <c r="E211" s="100"/>
      <c r="F211" s="101"/>
      <c r="G211" s="101"/>
      <c r="H211" s="101"/>
      <c r="I211" s="98"/>
      <c r="J211" s="98"/>
    </row>
    <row r="212" ht="15.75" customHeight="1">
      <c r="A212" s="98"/>
      <c r="B212" s="98"/>
      <c r="C212" s="98"/>
      <c r="D212" s="99"/>
      <c r="E212" s="100"/>
      <c r="F212" s="101"/>
      <c r="G212" s="101"/>
      <c r="H212" s="101"/>
      <c r="I212" s="98"/>
      <c r="J212" s="98"/>
    </row>
    <row r="213" ht="15.75" customHeight="1">
      <c r="A213" s="98"/>
      <c r="B213" s="98"/>
      <c r="C213" s="98"/>
      <c r="D213" s="99"/>
      <c r="E213" s="100"/>
      <c r="F213" s="101"/>
      <c r="G213" s="101"/>
      <c r="H213" s="101"/>
      <c r="I213" s="98"/>
      <c r="J213" s="98"/>
    </row>
    <row r="214" ht="15.75" customHeight="1">
      <c r="A214" s="98"/>
      <c r="B214" s="98"/>
      <c r="C214" s="98"/>
      <c r="D214" s="99"/>
      <c r="E214" s="100"/>
      <c r="F214" s="101"/>
      <c r="G214" s="101"/>
      <c r="H214" s="101"/>
      <c r="I214" s="98"/>
      <c r="J214" s="98"/>
    </row>
    <row r="215" ht="15.75" customHeight="1">
      <c r="A215" s="98"/>
      <c r="B215" s="98"/>
      <c r="C215" s="98"/>
      <c r="D215" s="99"/>
      <c r="E215" s="100"/>
      <c r="F215" s="101"/>
      <c r="G215" s="101"/>
      <c r="H215" s="101"/>
      <c r="I215" s="98"/>
      <c r="J215" s="98"/>
    </row>
    <row r="216" ht="15.75" customHeight="1">
      <c r="A216" s="98"/>
      <c r="B216" s="98"/>
      <c r="C216" s="98"/>
      <c r="D216" s="99"/>
      <c r="E216" s="100"/>
      <c r="F216" s="101"/>
      <c r="G216" s="101"/>
      <c r="H216" s="101"/>
      <c r="I216" s="98"/>
      <c r="J216" s="98"/>
    </row>
    <row r="217" ht="15.75" customHeight="1">
      <c r="A217" s="98"/>
      <c r="B217" s="98"/>
      <c r="C217" s="98"/>
      <c r="D217" s="99"/>
      <c r="E217" s="100"/>
      <c r="F217" s="101"/>
      <c r="G217" s="101"/>
      <c r="H217" s="101"/>
      <c r="I217" s="98"/>
      <c r="J217" s="98"/>
    </row>
    <row r="218" ht="15.75" customHeight="1">
      <c r="A218" s="98"/>
      <c r="B218" s="98"/>
      <c r="C218" s="98"/>
      <c r="D218" s="99"/>
      <c r="E218" s="100"/>
      <c r="F218" s="101"/>
      <c r="G218" s="101"/>
      <c r="H218" s="101"/>
      <c r="I218" s="98"/>
      <c r="J218" s="98"/>
    </row>
    <row r="219" ht="15.75" customHeight="1">
      <c r="A219" s="98"/>
      <c r="B219" s="98"/>
      <c r="C219" s="98"/>
      <c r="D219" s="99"/>
      <c r="E219" s="100"/>
      <c r="F219" s="101"/>
      <c r="G219" s="101"/>
      <c r="H219" s="101"/>
      <c r="I219" s="98"/>
      <c r="J219" s="98"/>
    </row>
    <row r="220" ht="15.75" customHeight="1">
      <c r="A220" s="98"/>
      <c r="B220" s="98"/>
      <c r="C220" s="98"/>
      <c r="D220" s="99"/>
      <c r="E220" s="100"/>
      <c r="F220" s="101"/>
      <c r="G220" s="101"/>
      <c r="H220" s="101"/>
      <c r="I220" s="98"/>
      <c r="J220" s="98"/>
    </row>
    <row r="221" ht="15.75" customHeight="1">
      <c r="A221" s="98"/>
      <c r="B221" s="98"/>
      <c r="C221" s="98"/>
      <c r="D221" s="99"/>
      <c r="E221" s="100"/>
      <c r="F221" s="101"/>
      <c r="G221" s="101"/>
      <c r="H221" s="101"/>
      <c r="I221" s="98"/>
      <c r="J221" s="98"/>
    </row>
    <row r="222" ht="15.75" customHeight="1">
      <c r="A222" s="98"/>
      <c r="B222" s="98"/>
      <c r="C222" s="98"/>
      <c r="D222" s="99"/>
      <c r="E222" s="100"/>
      <c r="F222" s="101"/>
      <c r="G222" s="101"/>
      <c r="H222" s="101"/>
      <c r="I222" s="98"/>
      <c r="J222" s="98"/>
    </row>
  </sheetData>
  <conditionalFormatting sqref="A2:A46 B2:D2 A48">
    <cfRule type="expression" dxfId="5" priority="1">
      <formula>Y($B2&lt;&gt;"", ES.PAR(FILA()))</formula>
    </cfRule>
  </conditionalFormatting>
  <conditionalFormatting sqref="E2:E222">
    <cfRule type="expression" dxfId="6" priority="2">
      <formula>AND(ISNUMBER($E2), $E2-TODAY()&lt;=2, $E2&gt;=TODAY())</formula>
    </cfRule>
  </conditionalFormatting>
  <conditionalFormatting sqref="F2:J222">
    <cfRule type="expression" dxfId="5" priority="3">
      <formula>AND($B2&lt;&gt;"", ISEVEN(ROW()))</formula>
    </cfRule>
  </conditionalFormatting>
  <conditionalFormatting sqref="I2:J2">
    <cfRule type="expression" dxfId="7" priority="4">
      <formula>$I2="WhatsApp"</formula>
    </cfRule>
  </conditionalFormatting>
  <conditionalFormatting sqref="I2">
    <cfRule type="expression" dxfId="8" priority="5">
      <formula>$I2="Facebook"</formula>
    </cfRule>
  </conditionalFormatting>
  <conditionalFormatting sqref="I2:I222">
    <cfRule type="expression" dxfId="9" priority="6">
      <formula>$I2="Instagram"</formula>
    </cfRule>
  </conditionalFormatting>
  <conditionalFormatting sqref="E2:E222">
    <cfRule type="notContainsBlanks" dxfId="10" priority="7">
      <formula>LEN(TRIM(E2))&gt;0</formula>
    </cfRule>
  </conditionalFormatting>
  <conditionalFormatting sqref="E2:E222">
    <cfRule type="expression" dxfId="11" priority="8">
      <formula>AND(ISNUMBER(E2),TRUNC(E2)&gt;TODAY())</formula>
    </cfRule>
  </conditionalFormatting>
  <conditionalFormatting sqref="A2:A46 B2:J2 B7:J13 A48">
    <cfRule type="expression" dxfId="12" priority="9">
      <formula>$J2="Entregado"</formula>
    </cfRule>
  </conditionalFormatting>
  <conditionalFormatting sqref="A2:J222">
    <cfRule type="expression" dxfId="13" priority="10">
      <formula>$J2="Listo"</formula>
    </cfRule>
  </conditionalFormatting>
  <conditionalFormatting sqref="A1:J222">
    <cfRule type="expression" dxfId="11" priority="11">
      <formula>ARRAYFORMULA({"Saldo"; IF(LEN(H2:H222)=0, , H2:H222 - #REF!)})</formula>
    </cfRule>
  </conditionalFormatting>
  <conditionalFormatting sqref="I2:I222">
    <cfRule type="expression" dxfId="14" priority="12">
      <formula>$I2="WhatsApp"</formula>
    </cfRule>
  </conditionalFormatting>
  <dataValidations>
    <dataValidation type="list" allowBlank="1" showErrorMessage="1" sqref="J183:J222">
      <formula1>"No comenzado,En diseño,En cola,Imprimiendo,Post-procesado,Listo,Entregado,Cancelado"</formula1>
    </dataValidation>
    <dataValidation type="list" allowBlank="1" sqref="J2:J182">
      <formula1>"No comenzado,En diseño,Imprimiendo,Post-procesado,Listo,Entregado,Cancelado"</formula1>
    </dataValidation>
    <dataValidation type="custom" allowBlank="1" showDropDown="1" sqref="E2:E182">
      <formula1>OR(NOT(ISERROR(DATEVALUE(E2))), AND(ISNUMBER(E2), LEFT(CELL("format", E2))="D"))</formula1>
    </dataValidation>
    <dataValidation type="custom" allowBlank="1" showDropDown="1" sqref="A2:A182 F2:H182">
      <formula1>AND(ISNUMBER(A2),(NOT(OR(NOT(ISERROR(DATEVALUE(A2))), AND(ISNUMBER(A2), LEFT(CELL("format", A2))="D")))))</formula1>
    </dataValidation>
    <dataValidation type="list" allowBlank="1" sqref="I2:I182">
      <formula1>"WhatsApp,Facebook,Instagram,Otro"</formula1>
    </dataValidation>
  </dataValidations>
  <hyperlinks>
    <hyperlink r:id="rId1" location="profileId-449991" ref="D61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97.86"/>
    <col customWidth="1" min="3" max="3" width="18.86"/>
    <col customWidth="1" min="4" max="4" width="41.43"/>
    <col customWidth="1" min="5" max="5" width="30.29"/>
    <col customWidth="1" min="6" max="6" width="32.29"/>
    <col customWidth="1" min="7" max="7" width="33.14"/>
  </cols>
  <sheetData>
    <row r="1">
      <c r="A1" s="102" t="s">
        <v>477</v>
      </c>
      <c r="B1" s="103"/>
      <c r="C1" s="103"/>
      <c r="D1" s="103"/>
      <c r="E1" s="103"/>
      <c r="F1" s="104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>
      <c r="A2" s="106" t="s">
        <v>478</v>
      </c>
      <c r="B2" s="107" t="s">
        <v>2</v>
      </c>
      <c r="C2" s="108" t="s">
        <v>479</v>
      </c>
      <c r="D2" s="108" t="s">
        <v>1</v>
      </c>
      <c r="E2" s="107" t="s">
        <v>480</v>
      </c>
      <c r="F2" s="109" t="s">
        <v>481</v>
      </c>
      <c r="G2" s="110" t="s">
        <v>482</v>
      </c>
      <c r="H2" s="105"/>
      <c r="I2" s="105"/>
      <c r="J2" s="105"/>
      <c r="K2" s="111"/>
      <c r="L2" s="112"/>
      <c r="M2" s="112"/>
      <c r="N2" s="112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>
      <c r="A3" s="113">
        <v>46175.0</v>
      </c>
      <c r="B3" s="114" t="s">
        <v>483</v>
      </c>
      <c r="C3" s="115">
        <v>1.0</v>
      </c>
      <c r="D3" s="114" t="s">
        <v>484</v>
      </c>
      <c r="E3" s="115" t="s">
        <v>485</v>
      </c>
      <c r="F3" s="116">
        <v>12500.0</v>
      </c>
      <c r="G3" s="117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</row>
    <row r="4">
      <c r="A4" s="113">
        <v>46175.0</v>
      </c>
      <c r="B4" s="114" t="s">
        <v>483</v>
      </c>
      <c r="C4" s="115">
        <v>1.0</v>
      </c>
      <c r="D4" s="114" t="s">
        <v>486</v>
      </c>
      <c r="E4" s="115" t="s">
        <v>485</v>
      </c>
      <c r="F4" s="116">
        <v>12500.0</v>
      </c>
      <c r="G4" s="117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>
      <c r="A5" s="113">
        <v>46175.0</v>
      </c>
      <c r="B5" s="114" t="s">
        <v>483</v>
      </c>
      <c r="C5" s="115">
        <v>1.0</v>
      </c>
      <c r="D5" s="114" t="s">
        <v>487</v>
      </c>
      <c r="E5" s="115" t="s">
        <v>488</v>
      </c>
      <c r="F5" s="116">
        <v>12500.0</v>
      </c>
      <c r="G5" s="117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>
      <c r="A6" s="113">
        <v>46175.0</v>
      </c>
      <c r="B6" s="114" t="s">
        <v>489</v>
      </c>
      <c r="C6" s="118">
        <v>2.0</v>
      </c>
      <c r="D6" s="119" t="s">
        <v>490</v>
      </c>
      <c r="E6" s="118" t="s">
        <v>485</v>
      </c>
      <c r="F6" s="120">
        <f>12500+4000</f>
        <v>16500</v>
      </c>
      <c r="G6" s="121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>
      <c r="A7" s="113">
        <v>46175.0</v>
      </c>
      <c r="B7" s="114" t="s">
        <v>483</v>
      </c>
      <c r="C7" s="118">
        <v>2.0</v>
      </c>
      <c r="D7" s="119" t="s">
        <v>491</v>
      </c>
      <c r="E7" s="118" t="s">
        <v>485</v>
      </c>
      <c r="F7" s="122">
        <v>25000.0</v>
      </c>
      <c r="G7" s="121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>
      <c r="A8" s="113">
        <v>46177.0</v>
      </c>
      <c r="B8" s="114" t="s">
        <v>483</v>
      </c>
      <c r="C8" s="115">
        <v>1.0</v>
      </c>
      <c r="D8" s="114" t="s">
        <v>492</v>
      </c>
      <c r="E8" s="115" t="s">
        <v>485</v>
      </c>
      <c r="F8" s="116">
        <v>12500.0</v>
      </c>
      <c r="G8" s="117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>
      <c r="A9" s="113">
        <v>46178.0</v>
      </c>
      <c r="B9" s="119" t="s">
        <v>493</v>
      </c>
      <c r="C9" s="118">
        <v>1.0</v>
      </c>
      <c r="D9" s="119" t="s">
        <v>494</v>
      </c>
      <c r="E9" s="118" t="s">
        <v>485</v>
      </c>
      <c r="F9" s="122">
        <v>22500.0</v>
      </c>
      <c r="G9" s="121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>
      <c r="A10" s="113">
        <v>46178.0</v>
      </c>
      <c r="B10" s="114" t="s">
        <v>483</v>
      </c>
      <c r="C10" s="115">
        <v>1.0</v>
      </c>
      <c r="D10" s="114" t="s">
        <v>495</v>
      </c>
      <c r="E10" s="115" t="s">
        <v>485</v>
      </c>
      <c r="F10" s="116">
        <v>12500.0</v>
      </c>
      <c r="G10" s="117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>
      <c r="A11" s="113">
        <v>46178.0</v>
      </c>
      <c r="B11" s="114" t="s">
        <v>483</v>
      </c>
      <c r="C11" s="118">
        <v>5.0</v>
      </c>
      <c r="D11" s="119" t="s">
        <v>496</v>
      </c>
      <c r="E11" s="118" t="s">
        <v>485</v>
      </c>
      <c r="F11" s="120">
        <f>12500*C11</f>
        <v>62500</v>
      </c>
      <c r="G11" s="121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</row>
    <row r="12">
      <c r="A12" s="113">
        <v>46184.0</v>
      </c>
      <c r="B12" s="114" t="s">
        <v>493</v>
      </c>
      <c r="C12" s="115">
        <v>1.0</v>
      </c>
      <c r="D12" s="114" t="s">
        <v>497</v>
      </c>
      <c r="E12" s="115" t="s">
        <v>485</v>
      </c>
      <c r="F12" s="122">
        <v>22500.0</v>
      </c>
      <c r="G12" s="117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</row>
    <row r="13">
      <c r="A13" s="113">
        <v>46184.0</v>
      </c>
      <c r="B13" s="114" t="s">
        <v>498</v>
      </c>
      <c r="C13" s="115">
        <v>1.0</v>
      </c>
      <c r="D13" s="114" t="s">
        <v>499</v>
      </c>
      <c r="E13" s="115" t="s">
        <v>485</v>
      </c>
      <c r="F13" s="122">
        <v>28000.0</v>
      </c>
      <c r="G13" s="117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</row>
    <row r="14">
      <c r="A14" s="113">
        <v>46185.0</v>
      </c>
      <c r="B14" s="114" t="s">
        <v>483</v>
      </c>
      <c r="C14" s="115">
        <v>1.0</v>
      </c>
      <c r="D14" s="114" t="s">
        <v>500</v>
      </c>
      <c r="E14" s="115" t="s">
        <v>485</v>
      </c>
      <c r="F14" s="120">
        <f>12500*C14</f>
        <v>12500</v>
      </c>
      <c r="G14" s="117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</row>
    <row r="15">
      <c r="A15" s="113">
        <v>46185.0</v>
      </c>
      <c r="B15" s="114" t="s">
        <v>501</v>
      </c>
      <c r="C15" s="115">
        <v>1.0</v>
      </c>
      <c r="D15" s="114" t="s">
        <v>502</v>
      </c>
      <c r="E15" s="115" t="s">
        <v>485</v>
      </c>
      <c r="F15" s="120">
        <f>14000*2</f>
        <v>28000</v>
      </c>
      <c r="G15" s="117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</row>
    <row r="16">
      <c r="A16" s="113">
        <v>46185.0</v>
      </c>
      <c r="B16" s="114" t="s">
        <v>503</v>
      </c>
      <c r="C16" s="115">
        <v>3.0</v>
      </c>
      <c r="D16" s="114" t="s">
        <v>504</v>
      </c>
      <c r="E16" s="115" t="s">
        <v>485</v>
      </c>
      <c r="F16" s="120">
        <f>27000*3</f>
        <v>81000</v>
      </c>
      <c r="G16" s="117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</row>
    <row r="17">
      <c r="A17" s="113">
        <v>46185.0</v>
      </c>
      <c r="B17" s="119" t="s">
        <v>505</v>
      </c>
      <c r="C17" s="118">
        <v>1.0</v>
      </c>
      <c r="D17" s="119" t="s">
        <v>506</v>
      </c>
      <c r="E17" s="118" t="s">
        <v>488</v>
      </c>
      <c r="F17" s="122">
        <v>8000.0</v>
      </c>
      <c r="G17" s="121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</row>
    <row r="18">
      <c r="A18" s="113">
        <v>46185.0</v>
      </c>
      <c r="B18" s="119" t="s">
        <v>507</v>
      </c>
      <c r="C18" s="118">
        <v>1.0</v>
      </c>
      <c r="D18" s="119" t="s">
        <v>508</v>
      </c>
      <c r="E18" s="118" t="s">
        <v>485</v>
      </c>
      <c r="F18" s="122">
        <v>19000.0</v>
      </c>
      <c r="G18" s="121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</row>
    <row r="19">
      <c r="A19" s="113">
        <v>46185.0</v>
      </c>
      <c r="B19" s="119" t="s">
        <v>509</v>
      </c>
      <c r="C19" s="118">
        <v>1.0</v>
      </c>
      <c r="D19" s="119" t="s">
        <v>510</v>
      </c>
      <c r="E19" s="118" t="s">
        <v>485</v>
      </c>
      <c r="F19" s="122">
        <v>9500.0</v>
      </c>
      <c r="G19" s="121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</row>
    <row r="20">
      <c r="A20" s="113">
        <v>46186.0</v>
      </c>
      <c r="B20" s="114" t="s">
        <v>511</v>
      </c>
      <c r="C20" s="115">
        <v>1.0</v>
      </c>
      <c r="D20" s="114" t="s">
        <v>500</v>
      </c>
      <c r="E20" s="115" t="s">
        <v>485</v>
      </c>
      <c r="F20" s="122">
        <v>30000.0</v>
      </c>
      <c r="G20" s="117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</row>
    <row r="21">
      <c r="A21" s="113">
        <v>46186.0</v>
      </c>
      <c r="B21" s="114" t="s">
        <v>483</v>
      </c>
      <c r="C21" s="118">
        <v>1.0</v>
      </c>
      <c r="D21" s="119" t="s">
        <v>500</v>
      </c>
      <c r="E21" s="118" t="s">
        <v>485</v>
      </c>
      <c r="F21" s="122">
        <v>12500.0</v>
      </c>
      <c r="G21" s="121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</row>
    <row r="22">
      <c r="A22" s="113">
        <v>46186.0</v>
      </c>
      <c r="B22" s="114" t="s">
        <v>512</v>
      </c>
      <c r="C22" s="115">
        <v>1.0</v>
      </c>
      <c r="D22" s="114" t="s">
        <v>513</v>
      </c>
      <c r="E22" s="115" t="s">
        <v>485</v>
      </c>
      <c r="F22" s="120">
        <f>12500*C22</f>
        <v>12500</v>
      </c>
      <c r="G22" s="117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</row>
    <row r="23">
      <c r="A23" s="113">
        <v>46186.0</v>
      </c>
      <c r="B23" s="119" t="s">
        <v>514</v>
      </c>
      <c r="C23" s="118">
        <v>1.0</v>
      </c>
      <c r="D23" s="119" t="s">
        <v>513</v>
      </c>
      <c r="E23" s="118" t="s">
        <v>485</v>
      </c>
      <c r="F23" s="122" t="s">
        <v>515</v>
      </c>
      <c r="G23" s="121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>
      <c r="A24" s="113">
        <v>46186.0</v>
      </c>
      <c r="B24" s="114" t="s">
        <v>516</v>
      </c>
      <c r="C24" s="115">
        <v>1.0</v>
      </c>
      <c r="D24" s="114" t="s">
        <v>517</v>
      </c>
      <c r="E24" s="115" t="s">
        <v>485</v>
      </c>
      <c r="F24" s="122">
        <v>19000.0</v>
      </c>
      <c r="G24" s="117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>
      <c r="A25" s="113">
        <v>46189.0</v>
      </c>
      <c r="B25" s="119" t="s">
        <v>518</v>
      </c>
      <c r="C25" s="118">
        <v>1.0</v>
      </c>
      <c r="D25" s="119" t="s">
        <v>519</v>
      </c>
      <c r="E25" s="118" t="s">
        <v>485</v>
      </c>
      <c r="F25" s="122">
        <v>27000.0</v>
      </c>
      <c r="G25" s="121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</row>
    <row r="26">
      <c r="A26" s="113">
        <v>46190.0</v>
      </c>
      <c r="B26" s="114" t="s">
        <v>489</v>
      </c>
      <c r="C26" s="115">
        <v>1.0</v>
      </c>
      <c r="D26" s="119" t="s">
        <v>513</v>
      </c>
      <c r="E26" s="115" t="s">
        <v>485</v>
      </c>
      <c r="F26" s="122" t="s">
        <v>520</v>
      </c>
      <c r="G26" s="117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>
      <c r="A27" s="113">
        <v>46191.0</v>
      </c>
      <c r="B27" s="119" t="s">
        <v>521</v>
      </c>
      <c r="C27" s="118">
        <v>1.0</v>
      </c>
      <c r="D27" s="119" t="s">
        <v>513</v>
      </c>
      <c r="E27" s="118" t="s">
        <v>485</v>
      </c>
      <c r="F27" s="122" t="s">
        <v>522</v>
      </c>
      <c r="G27" s="121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>
      <c r="A28" s="113">
        <v>46191.0</v>
      </c>
      <c r="B28" s="114" t="s">
        <v>523</v>
      </c>
      <c r="C28" s="115">
        <v>2.0</v>
      </c>
      <c r="D28" s="114" t="s">
        <v>513</v>
      </c>
      <c r="E28" s="115" t="s">
        <v>485</v>
      </c>
      <c r="F28" s="122" t="s">
        <v>524</v>
      </c>
      <c r="G28" s="117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>
      <c r="A29" s="113">
        <v>46191.0</v>
      </c>
      <c r="B29" s="119" t="s">
        <v>525</v>
      </c>
      <c r="C29" s="118">
        <v>1.0</v>
      </c>
      <c r="D29" s="119" t="s">
        <v>369</v>
      </c>
      <c r="E29" s="118" t="s">
        <v>485</v>
      </c>
      <c r="F29" s="122">
        <v>19000.0</v>
      </c>
      <c r="G29" s="121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>
      <c r="A30" s="113">
        <v>46191.0</v>
      </c>
      <c r="B30" s="119" t="s">
        <v>526</v>
      </c>
      <c r="C30" s="118">
        <v>1.0</v>
      </c>
      <c r="D30" s="119" t="s">
        <v>527</v>
      </c>
      <c r="E30" s="118" t="s">
        <v>485</v>
      </c>
      <c r="F30" s="122">
        <v>22500.0</v>
      </c>
      <c r="G30" s="121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>
      <c r="A31" s="113">
        <v>46192.0</v>
      </c>
      <c r="B31" s="114" t="s">
        <v>528</v>
      </c>
      <c r="C31" s="115">
        <v>2.0</v>
      </c>
      <c r="D31" s="114" t="s">
        <v>527</v>
      </c>
      <c r="E31" s="115" t="s">
        <v>485</v>
      </c>
      <c r="F31" s="122">
        <v>4000.0</v>
      </c>
      <c r="G31" s="117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>
      <c r="A32" s="113">
        <v>46192.0</v>
      </c>
      <c r="B32" s="119" t="s">
        <v>529</v>
      </c>
      <c r="C32" s="118">
        <v>1.0</v>
      </c>
      <c r="D32" s="119" t="s">
        <v>530</v>
      </c>
      <c r="E32" s="118" t="s">
        <v>485</v>
      </c>
      <c r="F32" s="122">
        <v>27000.0</v>
      </c>
      <c r="G32" s="121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>
      <c r="A33" s="113">
        <v>46192.0</v>
      </c>
      <c r="B33" s="114" t="s">
        <v>531</v>
      </c>
      <c r="C33" s="115">
        <v>1.0</v>
      </c>
      <c r="D33" s="114" t="s">
        <v>532</v>
      </c>
      <c r="E33" s="115" t="s">
        <v>485</v>
      </c>
      <c r="F33" s="122">
        <v>38000.0</v>
      </c>
      <c r="G33" s="117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</row>
    <row r="34">
      <c r="A34" s="113">
        <v>46192.0</v>
      </c>
      <c r="B34" s="119" t="s">
        <v>483</v>
      </c>
      <c r="C34" s="118">
        <v>3.0</v>
      </c>
      <c r="D34" s="119" t="s">
        <v>241</v>
      </c>
      <c r="E34" s="118" t="s">
        <v>485</v>
      </c>
      <c r="F34" s="120">
        <f>12500*3</f>
        <v>37500</v>
      </c>
      <c r="G34" s="121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>
      <c r="A35" s="113">
        <v>46192.0</v>
      </c>
      <c r="B35" s="114" t="s">
        <v>533</v>
      </c>
      <c r="C35" s="115">
        <v>2.0</v>
      </c>
      <c r="D35" s="114" t="s">
        <v>499</v>
      </c>
      <c r="E35" s="115" t="s">
        <v>485</v>
      </c>
      <c r="F35" s="120">
        <f>27000*2</f>
        <v>54000</v>
      </c>
      <c r="G35" s="117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>
      <c r="A36" s="113">
        <v>46192.0</v>
      </c>
      <c r="B36" s="119" t="s">
        <v>534</v>
      </c>
      <c r="C36" s="118">
        <v>1.0</v>
      </c>
      <c r="D36" s="119" t="s">
        <v>527</v>
      </c>
      <c r="E36" s="118" t="s">
        <v>485</v>
      </c>
      <c r="F36" s="122">
        <v>27000.0</v>
      </c>
      <c r="G36" s="121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>
      <c r="A37" s="113">
        <v>46192.0</v>
      </c>
      <c r="B37" s="114" t="s">
        <v>535</v>
      </c>
      <c r="C37" s="115">
        <v>15.0</v>
      </c>
      <c r="D37" s="114" t="s">
        <v>339</v>
      </c>
      <c r="E37" s="115" t="s">
        <v>485</v>
      </c>
      <c r="F37" s="122">
        <f>19000*15</f>
        <v>285000</v>
      </c>
      <c r="G37" s="117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>
      <c r="A38" s="113">
        <v>46192.0</v>
      </c>
      <c r="B38" s="119" t="s">
        <v>536</v>
      </c>
      <c r="C38" s="118">
        <v>10.0</v>
      </c>
      <c r="D38" s="119" t="s">
        <v>342</v>
      </c>
      <c r="E38" s="118" t="s">
        <v>485</v>
      </c>
      <c r="F38" s="120">
        <f>19000*10</f>
        <v>190000</v>
      </c>
      <c r="G38" s="121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>
      <c r="A39" s="113">
        <v>46192.0</v>
      </c>
      <c r="B39" s="114" t="s">
        <v>537</v>
      </c>
      <c r="C39" s="115">
        <v>1.0</v>
      </c>
      <c r="D39" s="114" t="s">
        <v>342</v>
      </c>
      <c r="E39" s="115" t="s">
        <v>485</v>
      </c>
      <c r="F39" s="122">
        <v>15500.0</v>
      </c>
      <c r="G39" s="117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>
      <c r="A40" s="113">
        <v>46192.0</v>
      </c>
      <c r="B40" s="119" t="s">
        <v>538</v>
      </c>
      <c r="C40" s="118">
        <v>4.0</v>
      </c>
      <c r="D40" s="119" t="s">
        <v>342</v>
      </c>
      <c r="E40" s="118" t="s">
        <v>485</v>
      </c>
      <c r="F40" s="120">
        <f>19000*4</f>
        <v>76000</v>
      </c>
      <c r="G40" s="121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</row>
    <row r="41">
      <c r="A41" s="113">
        <v>46192.0</v>
      </c>
      <c r="B41" s="114" t="s">
        <v>539</v>
      </c>
      <c r="C41" s="115">
        <v>6.0</v>
      </c>
      <c r="D41" s="114" t="s">
        <v>540</v>
      </c>
      <c r="E41" s="115" t="s">
        <v>485</v>
      </c>
      <c r="F41" s="122">
        <v>153900.0</v>
      </c>
      <c r="G41" s="117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</row>
    <row r="42">
      <c r="A42" s="113">
        <v>46192.0</v>
      </c>
      <c r="B42" s="119" t="s">
        <v>541</v>
      </c>
      <c r="C42" s="118">
        <v>3.0</v>
      </c>
      <c r="D42" s="119" t="s">
        <v>378</v>
      </c>
      <c r="E42" s="118" t="s">
        <v>488</v>
      </c>
      <c r="F42" s="120">
        <f>18500*3</f>
        <v>55500</v>
      </c>
      <c r="G42" s="121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</row>
    <row r="43">
      <c r="A43" s="113">
        <v>46193.0</v>
      </c>
      <c r="B43" s="114" t="s">
        <v>542</v>
      </c>
      <c r="C43" s="115">
        <v>1.0</v>
      </c>
      <c r="D43" s="114" t="s">
        <v>543</v>
      </c>
      <c r="E43" s="115" t="s">
        <v>485</v>
      </c>
      <c r="F43" s="122">
        <v>27000.0</v>
      </c>
      <c r="G43" s="117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</row>
    <row r="44">
      <c r="A44" s="113">
        <v>46193.0</v>
      </c>
      <c r="B44" s="114" t="s">
        <v>542</v>
      </c>
      <c r="C44" s="115">
        <v>1.0</v>
      </c>
      <c r="D44" s="114" t="s">
        <v>544</v>
      </c>
      <c r="E44" s="115" t="s">
        <v>485</v>
      </c>
      <c r="F44" s="122">
        <v>27000.0</v>
      </c>
      <c r="G44" s="117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</row>
    <row r="45">
      <c r="A45" s="113">
        <v>46194.0</v>
      </c>
      <c r="B45" s="114" t="s">
        <v>545</v>
      </c>
      <c r="C45" s="115">
        <v>1.0</v>
      </c>
      <c r="D45" s="114" t="s">
        <v>413</v>
      </c>
      <c r="E45" s="115" t="s">
        <v>485</v>
      </c>
      <c r="F45" s="122">
        <v>22500.0</v>
      </c>
      <c r="G45" s="117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</row>
    <row r="46">
      <c r="A46" s="113">
        <v>46195.0</v>
      </c>
      <c r="B46" s="119" t="s">
        <v>511</v>
      </c>
      <c r="C46" s="118">
        <v>1.0</v>
      </c>
      <c r="D46" s="119" t="s">
        <v>527</v>
      </c>
      <c r="E46" s="118" t="s">
        <v>485</v>
      </c>
      <c r="F46" s="122">
        <v>30000.0</v>
      </c>
      <c r="G46" s="121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</row>
    <row r="47">
      <c r="A47" s="113">
        <v>46195.0</v>
      </c>
      <c r="B47" s="114" t="s">
        <v>546</v>
      </c>
      <c r="C47" s="115">
        <v>1.0</v>
      </c>
      <c r="D47" s="114" t="s">
        <v>527</v>
      </c>
      <c r="E47" s="115" t="s">
        <v>485</v>
      </c>
      <c r="F47" s="122">
        <v>19000.0</v>
      </c>
      <c r="G47" s="117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</row>
    <row r="48">
      <c r="A48" s="113">
        <v>46195.0</v>
      </c>
      <c r="B48" s="119" t="s">
        <v>547</v>
      </c>
      <c r="C48" s="118">
        <v>1.0</v>
      </c>
      <c r="D48" s="119" t="s">
        <v>410</v>
      </c>
      <c r="E48" s="118" t="s">
        <v>485</v>
      </c>
      <c r="F48" s="122">
        <v>27000.0</v>
      </c>
      <c r="G48" s="121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</row>
    <row r="49">
      <c r="A49" s="113">
        <v>46195.0</v>
      </c>
      <c r="B49" s="114" t="s">
        <v>548</v>
      </c>
      <c r="C49" s="115">
        <v>1.0</v>
      </c>
      <c r="D49" s="114" t="s">
        <v>369</v>
      </c>
      <c r="E49" s="115" t="s">
        <v>488</v>
      </c>
      <c r="F49" s="122">
        <v>19000.0</v>
      </c>
      <c r="G49" s="117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</row>
    <row r="50">
      <c r="A50" s="113">
        <v>46198.0</v>
      </c>
      <c r="B50" s="119" t="s">
        <v>549</v>
      </c>
      <c r="C50" s="118">
        <v>1.0</v>
      </c>
      <c r="D50" s="119" t="s">
        <v>550</v>
      </c>
      <c r="E50" s="118" t="s">
        <v>485</v>
      </c>
      <c r="F50" s="122">
        <v>28000.0</v>
      </c>
      <c r="G50" s="121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</row>
    <row r="51">
      <c r="A51" s="113">
        <v>46198.0</v>
      </c>
      <c r="B51" s="114" t="s">
        <v>551</v>
      </c>
      <c r="C51" s="115">
        <v>1.0</v>
      </c>
      <c r="D51" s="114" t="s">
        <v>527</v>
      </c>
      <c r="E51" s="115" t="s">
        <v>488</v>
      </c>
      <c r="F51" s="122">
        <v>16000.0</v>
      </c>
      <c r="G51" s="117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</row>
    <row r="52">
      <c r="A52" s="113">
        <v>46198.0</v>
      </c>
      <c r="B52" s="119" t="s">
        <v>552</v>
      </c>
      <c r="C52" s="118">
        <v>1.0</v>
      </c>
      <c r="D52" s="119" t="s">
        <v>553</v>
      </c>
      <c r="E52" s="118" t="s">
        <v>485</v>
      </c>
      <c r="F52" s="122">
        <v>40000.0</v>
      </c>
      <c r="G52" s="123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</row>
    <row r="53">
      <c r="A53" s="113">
        <v>46199.0</v>
      </c>
      <c r="B53" s="114" t="s">
        <v>554</v>
      </c>
      <c r="C53" s="115">
        <v>1.0</v>
      </c>
      <c r="D53" s="114" t="s">
        <v>555</v>
      </c>
      <c r="E53" s="115" t="s">
        <v>485</v>
      </c>
      <c r="F53" s="120">
        <f>9000</f>
        <v>9000</v>
      </c>
      <c r="G53" s="124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</row>
    <row r="54">
      <c r="A54" s="113">
        <v>46199.0</v>
      </c>
      <c r="B54" s="119" t="s">
        <v>556</v>
      </c>
      <c r="C54" s="118">
        <v>1.0</v>
      </c>
      <c r="D54" s="119" t="s">
        <v>557</v>
      </c>
      <c r="E54" s="118" t="s">
        <v>485</v>
      </c>
      <c r="F54" s="122">
        <v>28000.0</v>
      </c>
      <c r="G54" s="123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</row>
    <row r="55">
      <c r="A55" s="113">
        <v>46199.0</v>
      </c>
      <c r="B55" s="114" t="s">
        <v>483</v>
      </c>
      <c r="C55" s="115">
        <v>2.0</v>
      </c>
      <c r="D55" s="114" t="s">
        <v>527</v>
      </c>
      <c r="E55" s="115" t="s">
        <v>485</v>
      </c>
      <c r="F55" s="122">
        <v>26000.0</v>
      </c>
      <c r="G55" s="12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</row>
    <row r="56">
      <c r="A56" s="113">
        <v>46199.0</v>
      </c>
      <c r="B56" s="114" t="s">
        <v>483</v>
      </c>
      <c r="C56" s="118">
        <v>1.0</v>
      </c>
      <c r="D56" s="119" t="s">
        <v>527</v>
      </c>
      <c r="E56" s="118" t="s">
        <v>485</v>
      </c>
      <c r="F56" s="120">
        <f>12500*C56</f>
        <v>12500</v>
      </c>
      <c r="G56" s="126" t="s">
        <v>558</v>
      </c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</row>
    <row r="57">
      <c r="A57" s="113">
        <v>46199.0</v>
      </c>
      <c r="B57" s="114" t="s">
        <v>559</v>
      </c>
      <c r="C57" s="115">
        <v>2.0</v>
      </c>
      <c r="D57" s="114" t="s">
        <v>560</v>
      </c>
      <c r="E57" s="115" t="s">
        <v>485</v>
      </c>
      <c r="F57" s="122">
        <v>49500.0</v>
      </c>
      <c r="G57" s="125" t="s">
        <v>558</v>
      </c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</row>
    <row r="58">
      <c r="A58" s="113">
        <v>46199.0</v>
      </c>
      <c r="B58" s="119" t="s">
        <v>561</v>
      </c>
      <c r="C58" s="118">
        <v>31.0</v>
      </c>
      <c r="D58" s="119" t="s">
        <v>562</v>
      </c>
      <c r="E58" s="118" t="s">
        <v>485</v>
      </c>
      <c r="F58" s="122">
        <v>58000.0</v>
      </c>
      <c r="G58" s="126" t="s">
        <v>563</v>
      </c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</row>
    <row r="59">
      <c r="A59" s="113">
        <v>46199.0</v>
      </c>
      <c r="B59" s="114" t="s">
        <v>564</v>
      </c>
      <c r="C59" s="115">
        <v>1.0</v>
      </c>
      <c r="D59" s="114" t="s">
        <v>443</v>
      </c>
      <c r="E59" s="115" t="s">
        <v>485</v>
      </c>
      <c r="F59" s="122">
        <v>28000.0</v>
      </c>
      <c r="G59" s="125" t="s">
        <v>565</v>
      </c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</row>
    <row r="60">
      <c r="A60" s="113">
        <v>46199.0</v>
      </c>
      <c r="B60" s="114" t="s">
        <v>566</v>
      </c>
      <c r="C60" s="118">
        <v>1.0</v>
      </c>
      <c r="D60" s="119" t="s">
        <v>527</v>
      </c>
      <c r="E60" s="118" t="s">
        <v>488</v>
      </c>
      <c r="F60" s="122">
        <v>7500.0</v>
      </c>
      <c r="G60" s="123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</row>
    <row r="61">
      <c r="A61" s="113">
        <v>46199.0</v>
      </c>
      <c r="B61" s="114" t="s">
        <v>426</v>
      </c>
      <c r="C61" s="115">
        <v>1.0</v>
      </c>
      <c r="D61" s="114" t="s">
        <v>567</v>
      </c>
      <c r="E61" s="115" t="s">
        <v>488</v>
      </c>
      <c r="F61" s="122">
        <v>0.0</v>
      </c>
      <c r="G61" s="12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</row>
    <row r="62">
      <c r="A62" s="113">
        <v>46199.0</v>
      </c>
      <c r="B62" s="119" t="s">
        <v>568</v>
      </c>
      <c r="C62" s="118">
        <v>1.0</v>
      </c>
      <c r="D62" s="119" t="s">
        <v>569</v>
      </c>
      <c r="E62" s="118" t="s">
        <v>485</v>
      </c>
      <c r="F62" s="122">
        <v>25000.0</v>
      </c>
      <c r="G62" s="126" t="s">
        <v>558</v>
      </c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</row>
    <row r="63">
      <c r="A63" s="113">
        <v>46200.0</v>
      </c>
      <c r="B63" s="114" t="s">
        <v>570</v>
      </c>
      <c r="C63" s="115">
        <v>1.0</v>
      </c>
      <c r="D63" s="114" t="s">
        <v>571</v>
      </c>
      <c r="E63" s="115" t="s">
        <v>485</v>
      </c>
      <c r="F63" s="122">
        <v>35000.0</v>
      </c>
      <c r="G63" s="125" t="s">
        <v>558</v>
      </c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</row>
    <row r="64">
      <c r="A64" s="113">
        <v>46200.0</v>
      </c>
      <c r="B64" s="119" t="s">
        <v>572</v>
      </c>
      <c r="C64" s="118">
        <v>1.0</v>
      </c>
      <c r="D64" s="119" t="s">
        <v>527</v>
      </c>
      <c r="E64" s="118" t="s">
        <v>485</v>
      </c>
      <c r="F64" s="120">
        <f t="shared" ref="F64:F76" si="1">12500*C64</f>
        <v>12500</v>
      </c>
      <c r="G64" s="123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</row>
    <row r="65">
      <c r="A65" s="127"/>
      <c r="B65" s="128"/>
      <c r="C65" s="129"/>
      <c r="D65" s="128"/>
      <c r="E65" s="129"/>
      <c r="F65" s="120">
        <f t="shared" si="1"/>
        <v>0</v>
      </c>
      <c r="G65" s="12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</row>
    <row r="66">
      <c r="A66" s="127"/>
      <c r="B66" s="130"/>
      <c r="C66" s="131"/>
      <c r="D66" s="130"/>
      <c r="E66" s="131"/>
      <c r="F66" s="120">
        <f t="shared" si="1"/>
        <v>0</v>
      </c>
      <c r="G66" s="123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</row>
    <row r="67">
      <c r="A67" s="127"/>
      <c r="B67" s="128"/>
      <c r="C67" s="129"/>
      <c r="D67" s="128"/>
      <c r="E67" s="129"/>
      <c r="F67" s="120">
        <f t="shared" si="1"/>
        <v>0</v>
      </c>
      <c r="G67" s="12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</row>
    <row r="68">
      <c r="A68" s="127"/>
      <c r="B68" s="130"/>
      <c r="C68" s="131"/>
      <c r="D68" s="130"/>
      <c r="E68" s="131"/>
      <c r="F68" s="120">
        <f t="shared" si="1"/>
        <v>0</v>
      </c>
      <c r="G68" s="123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</row>
    <row r="69">
      <c r="A69" s="127"/>
      <c r="B69" s="130"/>
      <c r="C69" s="131"/>
      <c r="D69" s="130"/>
      <c r="E69" s="131"/>
      <c r="F69" s="120">
        <f t="shared" si="1"/>
        <v>0</v>
      </c>
      <c r="G69" s="123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</row>
    <row r="70">
      <c r="A70" s="127"/>
      <c r="B70" s="128"/>
      <c r="C70" s="129"/>
      <c r="D70" s="128"/>
      <c r="E70" s="129"/>
      <c r="F70" s="120">
        <f t="shared" si="1"/>
        <v>0</v>
      </c>
      <c r="G70" s="12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</row>
    <row r="71">
      <c r="A71" s="127"/>
      <c r="B71" s="130"/>
      <c r="C71" s="131"/>
      <c r="D71" s="130"/>
      <c r="E71" s="131"/>
      <c r="F71" s="120">
        <f t="shared" si="1"/>
        <v>0</v>
      </c>
      <c r="G71" s="123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</row>
    <row r="72">
      <c r="A72" s="127"/>
      <c r="B72" s="128"/>
      <c r="C72" s="129"/>
      <c r="D72" s="128"/>
      <c r="E72" s="129"/>
      <c r="F72" s="120">
        <f t="shared" si="1"/>
        <v>0</v>
      </c>
      <c r="G72" s="12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</row>
    <row r="73">
      <c r="A73" s="127"/>
      <c r="B73" s="130"/>
      <c r="C73" s="131"/>
      <c r="D73" s="130"/>
      <c r="E73" s="131"/>
      <c r="F73" s="120">
        <f t="shared" si="1"/>
        <v>0</v>
      </c>
      <c r="G73" s="123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</row>
    <row r="74">
      <c r="A74" s="127"/>
      <c r="B74" s="128"/>
      <c r="C74" s="129"/>
      <c r="D74" s="128"/>
      <c r="E74" s="129"/>
      <c r="F74" s="120">
        <f t="shared" si="1"/>
        <v>0</v>
      </c>
      <c r="G74" s="12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</row>
    <row r="75">
      <c r="A75" s="127"/>
      <c r="B75" s="128"/>
      <c r="C75" s="129"/>
      <c r="D75" s="128"/>
      <c r="E75" s="129"/>
      <c r="F75" s="120">
        <f t="shared" si="1"/>
        <v>0</v>
      </c>
      <c r="G75" s="12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</row>
    <row r="76">
      <c r="A76" s="127"/>
      <c r="B76" s="130"/>
      <c r="C76" s="131"/>
      <c r="D76" s="130"/>
      <c r="E76" s="131"/>
      <c r="F76" s="120">
        <f t="shared" si="1"/>
        <v>0</v>
      </c>
      <c r="G76" s="123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</row>
    <row r="77">
      <c r="A77" s="132" t="s">
        <v>573</v>
      </c>
      <c r="B77" s="133"/>
      <c r="C77" s="133"/>
      <c r="D77" s="133"/>
      <c r="E77" s="134"/>
      <c r="F77" s="135">
        <f>SUM(F3:F76)</f>
        <v>2049900</v>
      </c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</row>
    <row r="78">
      <c r="A78" s="136"/>
      <c r="B78" s="136"/>
      <c r="C78" s="136"/>
      <c r="D78" s="136"/>
      <c r="E78" s="136"/>
      <c r="F78" s="136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</row>
    <row r="79">
      <c r="A79" s="136"/>
      <c r="B79" s="136"/>
      <c r="C79" s="136"/>
      <c r="D79" s="136"/>
      <c r="E79" s="136"/>
      <c r="F79" s="136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</row>
    <row r="80">
      <c r="A80" s="102" t="s">
        <v>574</v>
      </c>
      <c r="B80" s="103"/>
      <c r="C80" s="103"/>
      <c r="D80" s="103"/>
      <c r="E80" s="103"/>
      <c r="F80" s="104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</row>
    <row r="81">
      <c r="A81" s="137" t="s">
        <v>478</v>
      </c>
      <c r="B81" s="138" t="s">
        <v>2</v>
      </c>
      <c r="C81" s="139" t="s">
        <v>479</v>
      </c>
      <c r="D81" s="139" t="s">
        <v>1</v>
      </c>
      <c r="E81" s="138" t="s">
        <v>480</v>
      </c>
      <c r="F81" s="140" t="s">
        <v>481</v>
      </c>
      <c r="G81" s="141" t="s">
        <v>482</v>
      </c>
      <c r="H81" s="142"/>
      <c r="I81" s="142"/>
      <c r="J81" s="142"/>
      <c r="K81" s="143"/>
      <c r="L81" s="144"/>
      <c r="M81" s="144"/>
      <c r="N81" s="144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</row>
    <row r="82">
      <c r="A82" s="113">
        <v>46143.0</v>
      </c>
      <c r="B82" s="114" t="s">
        <v>575</v>
      </c>
      <c r="C82" s="115">
        <v>2.0</v>
      </c>
      <c r="D82" s="114" t="s">
        <v>576</v>
      </c>
      <c r="E82" s="115" t="s">
        <v>485</v>
      </c>
      <c r="F82" s="145">
        <f>20000*C82</f>
        <v>40000</v>
      </c>
      <c r="G82" s="146" t="s">
        <v>577</v>
      </c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</row>
    <row r="83">
      <c r="A83" s="113">
        <v>46144.0</v>
      </c>
      <c r="B83" s="119" t="s">
        <v>578</v>
      </c>
      <c r="C83" s="115">
        <v>10.0</v>
      </c>
      <c r="D83" s="114" t="s">
        <v>579</v>
      </c>
      <c r="E83" s="115" t="s">
        <v>485</v>
      </c>
      <c r="F83" s="145">
        <f>3000*C83</f>
        <v>30000</v>
      </c>
      <c r="G83" s="146" t="s">
        <v>580</v>
      </c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</row>
    <row r="84">
      <c r="A84" s="113">
        <v>46144.0</v>
      </c>
      <c r="B84" s="119" t="s">
        <v>581</v>
      </c>
      <c r="C84" s="115">
        <v>1.0</v>
      </c>
      <c r="D84" s="114" t="s">
        <v>579</v>
      </c>
      <c r="E84" s="115" t="s">
        <v>485</v>
      </c>
      <c r="F84" s="145">
        <v>28000.0</v>
      </c>
      <c r="G84" s="146" t="s">
        <v>582</v>
      </c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</row>
    <row r="85">
      <c r="A85" s="113">
        <v>46146.0</v>
      </c>
      <c r="B85" s="114" t="s">
        <v>583</v>
      </c>
      <c r="C85" s="115">
        <v>3.0</v>
      </c>
      <c r="D85" s="114" t="s">
        <v>75</v>
      </c>
      <c r="E85" s="115" t="s">
        <v>488</v>
      </c>
      <c r="F85" s="145">
        <f>12000*3</f>
        <v>36000</v>
      </c>
      <c r="G85" s="117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</row>
    <row r="86">
      <c r="A86" s="113">
        <v>46146.0</v>
      </c>
      <c r="B86" s="114" t="s">
        <v>584</v>
      </c>
      <c r="C86" s="115">
        <v>2.0</v>
      </c>
      <c r="D86" s="114" t="s">
        <v>75</v>
      </c>
      <c r="E86" s="115" t="s">
        <v>485</v>
      </c>
      <c r="F86" s="145">
        <v>8000.0</v>
      </c>
      <c r="G86" s="117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</row>
    <row r="87">
      <c r="A87" s="113">
        <v>46146.0</v>
      </c>
      <c r="B87" s="119" t="s">
        <v>585</v>
      </c>
      <c r="C87" s="115">
        <v>10.0</v>
      </c>
      <c r="D87" s="114" t="s">
        <v>56</v>
      </c>
      <c r="E87" s="115" t="s">
        <v>485</v>
      </c>
      <c r="F87" s="145">
        <f>1200*10</f>
        <v>12000</v>
      </c>
      <c r="G87" s="146" t="s">
        <v>582</v>
      </c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</row>
    <row r="88">
      <c r="A88" s="113">
        <v>46147.0</v>
      </c>
      <c r="B88" s="114" t="s">
        <v>586</v>
      </c>
      <c r="C88" s="115">
        <v>1.0</v>
      </c>
      <c r="D88" s="114" t="s">
        <v>241</v>
      </c>
      <c r="E88" s="115" t="s">
        <v>485</v>
      </c>
      <c r="F88" s="145">
        <v>22500.0</v>
      </c>
      <c r="G88" s="117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</row>
    <row r="89">
      <c r="A89" s="113">
        <v>46147.0</v>
      </c>
      <c r="B89" s="114" t="s">
        <v>587</v>
      </c>
      <c r="C89" s="115">
        <v>1.0</v>
      </c>
      <c r="D89" s="114" t="s">
        <v>588</v>
      </c>
      <c r="E89" s="115" t="s">
        <v>485</v>
      </c>
      <c r="F89" s="145">
        <v>19000.0</v>
      </c>
      <c r="G89" s="117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</row>
    <row r="90">
      <c r="A90" s="113">
        <v>46147.0</v>
      </c>
      <c r="B90" s="114" t="s">
        <v>583</v>
      </c>
      <c r="C90" s="115">
        <v>1.0</v>
      </c>
      <c r="D90" s="114" t="s">
        <v>589</v>
      </c>
      <c r="E90" s="115" t="s">
        <v>485</v>
      </c>
      <c r="F90" s="145">
        <v>12500.0</v>
      </c>
      <c r="G90" s="117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</row>
    <row r="91">
      <c r="A91" s="113">
        <v>46148.0</v>
      </c>
      <c r="B91" s="114" t="s">
        <v>583</v>
      </c>
      <c r="C91" s="115">
        <v>3.0</v>
      </c>
      <c r="D91" s="114" t="s">
        <v>222</v>
      </c>
      <c r="E91" s="115" t="s">
        <v>485</v>
      </c>
      <c r="F91" s="145">
        <f>12500*C91</f>
        <v>37500</v>
      </c>
      <c r="G91" s="117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</row>
    <row r="92">
      <c r="A92" s="113">
        <v>46148.0</v>
      </c>
      <c r="B92" s="114" t="s">
        <v>583</v>
      </c>
      <c r="C92" s="115">
        <v>1.0</v>
      </c>
      <c r="D92" s="114" t="s">
        <v>590</v>
      </c>
      <c r="E92" s="115" t="s">
        <v>485</v>
      </c>
      <c r="F92" s="145">
        <v>12500.0</v>
      </c>
      <c r="G92" s="117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</row>
    <row r="93">
      <c r="A93" s="113">
        <v>46148.0</v>
      </c>
      <c r="B93" s="114" t="s">
        <v>583</v>
      </c>
      <c r="C93" s="115">
        <v>2.0</v>
      </c>
      <c r="D93" s="114" t="s">
        <v>591</v>
      </c>
      <c r="E93" s="115" t="s">
        <v>485</v>
      </c>
      <c r="F93" s="145">
        <f>12500*2</f>
        <v>25000</v>
      </c>
      <c r="G93" s="117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</row>
    <row r="94">
      <c r="A94" s="113">
        <v>46148.0</v>
      </c>
      <c r="B94" s="119" t="s">
        <v>592</v>
      </c>
      <c r="C94" s="115">
        <v>15.0</v>
      </c>
      <c r="D94" s="114" t="s">
        <v>593</v>
      </c>
      <c r="E94" s="115" t="s">
        <v>485</v>
      </c>
      <c r="F94" s="145">
        <f>1600*C94</f>
        <v>24000</v>
      </c>
      <c r="G94" s="117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</row>
    <row r="95">
      <c r="A95" s="113">
        <v>46149.0</v>
      </c>
      <c r="B95" s="114" t="s">
        <v>583</v>
      </c>
      <c r="C95" s="115">
        <v>1.0</v>
      </c>
      <c r="D95" s="114" t="s">
        <v>594</v>
      </c>
      <c r="E95" s="115" t="s">
        <v>488</v>
      </c>
      <c r="F95" s="145">
        <v>12500.0</v>
      </c>
      <c r="G95" s="117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</row>
    <row r="96">
      <c r="A96" s="113">
        <v>46149.0</v>
      </c>
      <c r="B96" s="114" t="s">
        <v>583</v>
      </c>
      <c r="C96" s="115">
        <v>1.0</v>
      </c>
      <c r="D96" s="114" t="s">
        <v>241</v>
      </c>
      <c r="E96" s="115" t="s">
        <v>488</v>
      </c>
      <c r="F96" s="145">
        <v>12500.0</v>
      </c>
      <c r="G96" s="117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</row>
    <row r="97">
      <c r="A97" s="113">
        <v>46149.0</v>
      </c>
      <c r="B97" s="114" t="s">
        <v>583</v>
      </c>
      <c r="C97" s="115">
        <v>1.0</v>
      </c>
      <c r="D97" s="114" t="s">
        <v>75</v>
      </c>
      <c r="E97" s="115" t="s">
        <v>488</v>
      </c>
      <c r="F97" s="145">
        <v>12500.0</v>
      </c>
      <c r="G97" s="117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</row>
    <row r="98">
      <c r="A98" s="113">
        <v>46149.0</v>
      </c>
      <c r="B98" s="114" t="s">
        <v>583</v>
      </c>
      <c r="C98" s="115">
        <v>1.0</v>
      </c>
      <c r="D98" s="114" t="s">
        <v>241</v>
      </c>
      <c r="E98" s="115" t="s">
        <v>485</v>
      </c>
      <c r="F98" s="145">
        <v>12500.0</v>
      </c>
      <c r="G98" s="117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</row>
    <row r="99">
      <c r="A99" s="113">
        <v>46149.0</v>
      </c>
      <c r="B99" s="114" t="s">
        <v>583</v>
      </c>
      <c r="C99" s="115">
        <v>1.0</v>
      </c>
      <c r="D99" s="114" t="s">
        <v>595</v>
      </c>
      <c r="E99" s="115" t="s">
        <v>485</v>
      </c>
      <c r="F99" s="145">
        <v>12500.0</v>
      </c>
      <c r="G99" s="117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</row>
    <row r="100">
      <c r="A100" s="113">
        <v>46149.0</v>
      </c>
      <c r="B100" s="114" t="s">
        <v>596</v>
      </c>
      <c r="C100" s="115">
        <v>1.0</v>
      </c>
      <c r="D100" s="114" t="s">
        <v>597</v>
      </c>
      <c r="E100" s="115" t="s">
        <v>485</v>
      </c>
      <c r="F100" s="145">
        <v>27000.0</v>
      </c>
      <c r="G100" s="117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</row>
    <row r="101">
      <c r="A101" s="113">
        <v>46150.0</v>
      </c>
      <c r="B101" s="114" t="s">
        <v>583</v>
      </c>
      <c r="C101" s="115">
        <v>2.0</v>
      </c>
      <c r="D101" s="114" t="s">
        <v>115</v>
      </c>
      <c r="E101" s="115" t="s">
        <v>485</v>
      </c>
      <c r="F101" s="145">
        <f>12500*C101</f>
        <v>25000</v>
      </c>
      <c r="G101" s="117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</row>
    <row r="102">
      <c r="A102" s="113">
        <v>46150.0</v>
      </c>
      <c r="B102" s="114" t="s">
        <v>509</v>
      </c>
      <c r="C102" s="115">
        <v>1.0</v>
      </c>
      <c r="D102" s="114" t="s">
        <v>598</v>
      </c>
      <c r="E102" s="115" t="s">
        <v>488</v>
      </c>
      <c r="F102" s="145">
        <v>9500.0</v>
      </c>
      <c r="G102" s="117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</row>
    <row r="103">
      <c r="A103" s="113">
        <v>46150.0</v>
      </c>
      <c r="B103" s="114" t="s">
        <v>583</v>
      </c>
      <c r="C103" s="115">
        <v>1.0</v>
      </c>
      <c r="D103" s="114" t="s">
        <v>599</v>
      </c>
      <c r="E103" s="115" t="s">
        <v>485</v>
      </c>
      <c r="F103" s="145">
        <v>12500.0</v>
      </c>
      <c r="G103" s="117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</row>
    <row r="104">
      <c r="A104" s="113">
        <v>46150.0</v>
      </c>
      <c r="B104" s="114" t="s">
        <v>583</v>
      </c>
      <c r="C104" s="115">
        <v>1.0</v>
      </c>
      <c r="D104" s="114" t="s">
        <v>104</v>
      </c>
      <c r="E104" s="115" t="s">
        <v>485</v>
      </c>
      <c r="F104" s="145">
        <v>12500.0</v>
      </c>
      <c r="G104" s="117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</row>
    <row r="105">
      <c r="A105" s="113">
        <v>46150.0</v>
      </c>
      <c r="B105" s="114" t="s">
        <v>583</v>
      </c>
      <c r="C105" s="115">
        <v>1.0</v>
      </c>
      <c r="D105" s="114" t="s">
        <v>600</v>
      </c>
      <c r="E105" s="115" t="s">
        <v>485</v>
      </c>
      <c r="F105" s="145">
        <v>12500.0</v>
      </c>
      <c r="G105" s="117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</row>
    <row r="106">
      <c r="A106" s="113">
        <v>46150.0</v>
      </c>
      <c r="B106" s="114" t="s">
        <v>583</v>
      </c>
      <c r="C106" s="115">
        <v>1.0</v>
      </c>
      <c r="D106" s="114" t="s">
        <v>601</v>
      </c>
      <c r="E106" s="115" t="s">
        <v>485</v>
      </c>
      <c r="F106" s="145">
        <v>10000.0</v>
      </c>
      <c r="G106" s="117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</row>
    <row r="107">
      <c r="A107" s="113">
        <v>46150.0</v>
      </c>
      <c r="B107" s="114" t="s">
        <v>602</v>
      </c>
      <c r="C107" s="115">
        <v>2.0</v>
      </c>
      <c r="D107" s="114" t="s">
        <v>601</v>
      </c>
      <c r="E107" s="115" t="s">
        <v>485</v>
      </c>
      <c r="F107" s="145">
        <f>27000+22500</f>
        <v>49500</v>
      </c>
      <c r="G107" s="117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</row>
    <row r="108">
      <c r="A108" s="113">
        <v>46151.0</v>
      </c>
      <c r="B108" s="114" t="s">
        <v>583</v>
      </c>
      <c r="C108" s="115">
        <v>1.0</v>
      </c>
      <c r="D108" s="114" t="s">
        <v>603</v>
      </c>
      <c r="E108" s="115" t="s">
        <v>485</v>
      </c>
      <c r="F108" s="145">
        <v>12500.0</v>
      </c>
      <c r="G108" s="117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</row>
    <row r="109">
      <c r="A109" s="113">
        <v>46151.0</v>
      </c>
      <c r="B109" s="114" t="s">
        <v>604</v>
      </c>
      <c r="C109" s="115">
        <v>1.0</v>
      </c>
      <c r="D109" s="114" t="s">
        <v>590</v>
      </c>
      <c r="E109" s="115" t="s">
        <v>485</v>
      </c>
      <c r="F109" s="145">
        <v>15500.0</v>
      </c>
      <c r="G109" s="117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</row>
    <row r="110">
      <c r="A110" s="113">
        <v>46151.0</v>
      </c>
      <c r="B110" s="114" t="s">
        <v>583</v>
      </c>
      <c r="C110" s="115">
        <v>1.0</v>
      </c>
      <c r="D110" s="114" t="s">
        <v>118</v>
      </c>
      <c r="E110" s="115" t="s">
        <v>485</v>
      </c>
      <c r="F110" s="145">
        <v>12500.0</v>
      </c>
      <c r="G110" s="117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</row>
    <row r="111">
      <c r="A111" s="113">
        <v>46151.0</v>
      </c>
      <c r="B111" s="114" t="s">
        <v>583</v>
      </c>
      <c r="C111" s="115">
        <v>1.0</v>
      </c>
      <c r="D111" s="114" t="s">
        <v>605</v>
      </c>
      <c r="E111" s="115" t="s">
        <v>485</v>
      </c>
      <c r="F111" s="145">
        <v>12500.0</v>
      </c>
      <c r="G111" s="117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</row>
    <row r="112">
      <c r="A112" s="113">
        <v>46151.0</v>
      </c>
      <c r="B112" s="114" t="s">
        <v>583</v>
      </c>
      <c r="C112" s="115">
        <v>1.0</v>
      </c>
      <c r="D112" s="114" t="s">
        <v>606</v>
      </c>
      <c r="E112" s="115" t="s">
        <v>485</v>
      </c>
      <c r="F112" s="145">
        <v>12500.0</v>
      </c>
      <c r="G112" s="117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</row>
    <row r="113">
      <c r="A113" s="113">
        <v>46151.0</v>
      </c>
      <c r="B113" s="114" t="s">
        <v>607</v>
      </c>
      <c r="C113" s="115">
        <v>1.0</v>
      </c>
      <c r="D113" s="114" t="s">
        <v>608</v>
      </c>
      <c r="E113" s="115" t="s">
        <v>485</v>
      </c>
      <c r="F113" s="145">
        <v>6000.0</v>
      </c>
      <c r="G113" s="117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</row>
    <row r="114">
      <c r="A114" s="113">
        <v>46151.0</v>
      </c>
      <c r="B114" s="114" t="s">
        <v>609</v>
      </c>
      <c r="C114" s="115">
        <v>2.0</v>
      </c>
      <c r="D114" s="114" t="s">
        <v>610</v>
      </c>
      <c r="E114" s="115" t="s">
        <v>488</v>
      </c>
      <c r="F114" s="145">
        <v>59000.0</v>
      </c>
      <c r="G114" s="117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</row>
    <row r="115">
      <c r="A115" s="113">
        <v>46151.0</v>
      </c>
      <c r="B115" s="114" t="s">
        <v>583</v>
      </c>
      <c r="C115" s="115">
        <v>1.0</v>
      </c>
      <c r="D115" s="114" t="s">
        <v>611</v>
      </c>
      <c r="E115" s="115" t="s">
        <v>485</v>
      </c>
      <c r="F115" s="145">
        <v>12500.0</v>
      </c>
      <c r="G115" s="117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</row>
    <row r="116">
      <c r="A116" s="113">
        <v>46151.0</v>
      </c>
      <c r="B116" s="114" t="s">
        <v>583</v>
      </c>
      <c r="C116" s="115">
        <v>4.0</v>
      </c>
      <c r="D116" s="114" t="s">
        <v>241</v>
      </c>
      <c r="E116" s="115" t="s">
        <v>485</v>
      </c>
      <c r="F116" s="145">
        <f>10000*4</f>
        <v>40000</v>
      </c>
      <c r="G116" s="117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</row>
    <row r="117">
      <c r="A117" s="113">
        <v>46151.0</v>
      </c>
      <c r="B117" s="114" t="s">
        <v>583</v>
      </c>
      <c r="C117" s="115">
        <v>1.0</v>
      </c>
      <c r="D117" s="114" t="s">
        <v>612</v>
      </c>
      <c r="E117" s="115" t="s">
        <v>485</v>
      </c>
      <c r="F117" s="145">
        <v>12500.0</v>
      </c>
      <c r="G117" s="117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</row>
    <row r="118">
      <c r="A118" s="113">
        <v>46151.0</v>
      </c>
      <c r="B118" s="114" t="s">
        <v>583</v>
      </c>
      <c r="C118" s="115">
        <v>1.0</v>
      </c>
      <c r="D118" s="114" t="s">
        <v>613</v>
      </c>
      <c r="E118" s="115" t="s">
        <v>485</v>
      </c>
      <c r="F118" s="145">
        <v>12500.0</v>
      </c>
      <c r="G118" s="117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</row>
    <row r="119">
      <c r="A119" s="113">
        <v>46153.0</v>
      </c>
      <c r="B119" s="114" t="s">
        <v>583</v>
      </c>
      <c r="C119" s="115">
        <v>1.0</v>
      </c>
      <c r="D119" s="114" t="s">
        <v>614</v>
      </c>
      <c r="E119" s="115" t="s">
        <v>485</v>
      </c>
      <c r="F119" s="145">
        <v>12500.0</v>
      </c>
      <c r="G119" s="117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</row>
    <row r="120">
      <c r="A120" s="113">
        <v>46154.0</v>
      </c>
      <c r="B120" s="114" t="s">
        <v>583</v>
      </c>
      <c r="C120" s="115">
        <v>1.0</v>
      </c>
      <c r="D120" s="114" t="s">
        <v>615</v>
      </c>
      <c r="E120" s="115" t="s">
        <v>485</v>
      </c>
      <c r="F120" s="145">
        <v>12500.0</v>
      </c>
      <c r="G120" s="12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</row>
    <row r="121">
      <c r="A121" s="113">
        <v>46154.0</v>
      </c>
      <c r="B121" s="114" t="s">
        <v>583</v>
      </c>
      <c r="C121" s="115">
        <v>2.0</v>
      </c>
      <c r="D121" s="114" t="s">
        <v>616</v>
      </c>
      <c r="E121" s="115" t="s">
        <v>485</v>
      </c>
      <c r="F121" s="145">
        <f>12500*C121</f>
        <v>25000</v>
      </c>
      <c r="G121" s="12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</row>
    <row r="122">
      <c r="A122" s="113">
        <v>46154.0</v>
      </c>
      <c r="B122" s="114" t="s">
        <v>607</v>
      </c>
      <c r="C122" s="115">
        <v>1.0</v>
      </c>
      <c r="D122" s="114" t="s">
        <v>469</v>
      </c>
      <c r="E122" s="115" t="s">
        <v>485</v>
      </c>
      <c r="F122" s="145">
        <v>6000.0</v>
      </c>
      <c r="G122" s="12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</row>
    <row r="123">
      <c r="A123" s="113">
        <v>46154.0</v>
      </c>
      <c r="B123" s="114" t="s">
        <v>583</v>
      </c>
      <c r="C123" s="115">
        <v>1.0</v>
      </c>
      <c r="D123" s="114" t="s">
        <v>617</v>
      </c>
      <c r="E123" s="115" t="s">
        <v>485</v>
      </c>
      <c r="F123" s="145">
        <v>12500.0</v>
      </c>
      <c r="G123" s="12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</row>
    <row r="124">
      <c r="A124" s="113">
        <v>46155.0</v>
      </c>
      <c r="B124" s="114" t="s">
        <v>583</v>
      </c>
      <c r="C124" s="115">
        <v>1.0</v>
      </c>
      <c r="D124" s="114" t="s">
        <v>618</v>
      </c>
      <c r="E124" s="115" t="s">
        <v>485</v>
      </c>
      <c r="F124" s="145">
        <v>12500.0</v>
      </c>
      <c r="G124" s="12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</row>
    <row r="125">
      <c r="A125" s="113">
        <v>46155.0</v>
      </c>
      <c r="B125" s="114" t="s">
        <v>583</v>
      </c>
      <c r="C125" s="115">
        <v>1.0</v>
      </c>
      <c r="D125" s="114" t="s">
        <v>619</v>
      </c>
      <c r="E125" s="115" t="s">
        <v>485</v>
      </c>
      <c r="F125" s="145">
        <v>12500.0</v>
      </c>
      <c r="G125" s="12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</row>
    <row r="126">
      <c r="A126" s="113">
        <v>46155.0</v>
      </c>
      <c r="B126" s="114" t="s">
        <v>620</v>
      </c>
      <c r="C126" s="115">
        <v>20.0</v>
      </c>
      <c r="D126" s="114" t="s">
        <v>621</v>
      </c>
      <c r="E126" s="115" t="s">
        <v>485</v>
      </c>
      <c r="F126" s="145">
        <v>150000.0</v>
      </c>
      <c r="G126" s="12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</row>
    <row r="127">
      <c r="A127" s="113">
        <v>46156.0</v>
      </c>
      <c r="B127" s="114" t="s">
        <v>583</v>
      </c>
      <c r="C127" s="115">
        <v>1.0</v>
      </c>
      <c r="D127" s="114" t="s">
        <v>622</v>
      </c>
      <c r="E127" s="115" t="s">
        <v>485</v>
      </c>
      <c r="F127" s="145">
        <v>12500.0</v>
      </c>
      <c r="G127" s="12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</row>
    <row r="128">
      <c r="A128" s="113">
        <v>46156.0</v>
      </c>
      <c r="B128" s="114" t="s">
        <v>583</v>
      </c>
      <c r="C128" s="115">
        <v>1.0</v>
      </c>
      <c r="D128" s="114" t="s">
        <v>623</v>
      </c>
      <c r="E128" s="115" t="s">
        <v>485</v>
      </c>
      <c r="F128" s="145">
        <v>12500.0</v>
      </c>
      <c r="G128" s="12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</row>
    <row r="129">
      <c r="A129" s="113">
        <v>46156.0</v>
      </c>
      <c r="B129" s="114" t="s">
        <v>583</v>
      </c>
      <c r="C129" s="115">
        <v>1.0</v>
      </c>
      <c r="D129" s="114" t="s">
        <v>624</v>
      </c>
      <c r="E129" s="115" t="s">
        <v>485</v>
      </c>
      <c r="F129" s="145">
        <v>12500.0</v>
      </c>
      <c r="G129" s="12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</row>
    <row r="130">
      <c r="A130" s="113">
        <v>46156.0</v>
      </c>
      <c r="B130" s="114" t="s">
        <v>583</v>
      </c>
      <c r="C130" s="115">
        <v>2.0</v>
      </c>
      <c r="D130" s="114" t="s">
        <v>625</v>
      </c>
      <c r="E130" s="115" t="s">
        <v>485</v>
      </c>
      <c r="F130" s="145">
        <v>25000.0</v>
      </c>
      <c r="G130" s="12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</row>
    <row r="131">
      <c r="A131" s="113">
        <v>46156.0</v>
      </c>
      <c r="B131" s="114" t="s">
        <v>583</v>
      </c>
      <c r="C131" s="115">
        <v>2.0</v>
      </c>
      <c r="D131" s="114" t="s">
        <v>139</v>
      </c>
      <c r="E131" s="115" t="s">
        <v>485</v>
      </c>
      <c r="F131" s="145">
        <v>25000.0</v>
      </c>
      <c r="G131" s="12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</row>
    <row r="132">
      <c r="A132" s="113">
        <v>46157.0</v>
      </c>
      <c r="B132" s="114" t="s">
        <v>583</v>
      </c>
      <c r="C132" s="115">
        <v>4.0</v>
      </c>
      <c r="D132" s="114" t="s">
        <v>626</v>
      </c>
      <c r="E132" s="115" t="s">
        <v>485</v>
      </c>
      <c r="F132" s="145">
        <f>12000*C132</f>
        <v>48000</v>
      </c>
      <c r="G132" s="12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</row>
    <row r="133">
      <c r="A133" s="113">
        <v>46157.0</v>
      </c>
      <c r="B133" s="114" t="s">
        <v>583</v>
      </c>
      <c r="C133" s="115">
        <v>2.0</v>
      </c>
      <c r="D133" s="114" t="s">
        <v>474</v>
      </c>
      <c r="E133" s="115" t="s">
        <v>485</v>
      </c>
      <c r="F133" s="145">
        <v>24000.0</v>
      </c>
      <c r="G133" s="12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</row>
    <row r="134">
      <c r="A134" s="113">
        <v>46157.0</v>
      </c>
      <c r="B134" s="114" t="s">
        <v>627</v>
      </c>
      <c r="C134" s="115">
        <v>1.0</v>
      </c>
      <c r="D134" s="114" t="s">
        <v>628</v>
      </c>
      <c r="E134" s="115" t="s">
        <v>485</v>
      </c>
      <c r="F134" s="145">
        <v>19000.0</v>
      </c>
      <c r="G134" s="12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</row>
    <row r="135">
      <c r="A135" s="113">
        <v>46157.0</v>
      </c>
      <c r="B135" s="114" t="s">
        <v>583</v>
      </c>
      <c r="C135" s="115">
        <v>2.0</v>
      </c>
      <c r="D135" s="114" t="s">
        <v>629</v>
      </c>
      <c r="E135" s="115" t="s">
        <v>485</v>
      </c>
      <c r="F135" s="145">
        <f>25000</f>
        <v>25000</v>
      </c>
      <c r="G135" s="12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</row>
    <row r="136">
      <c r="A136" s="113">
        <v>46157.0</v>
      </c>
      <c r="B136" s="114" t="s">
        <v>630</v>
      </c>
      <c r="C136" s="115">
        <v>30.0</v>
      </c>
      <c r="D136" s="114" t="s">
        <v>631</v>
      </c>
      <c r="E136" s="115" t="s">
        <v>485</v>
      </c>
      <c r="F136" s="145">
        <f>1700*C136</f>
        <v>51000</v>
      </c>
      <c r="G136" s="12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</row>
    <row r="137">
      <c r="A137" s="113">
        <v>46157.0</v>
      </c>
      <c r="B137" s="114" t="s">
        <v>607</v>
      </c>
      <c r="C137" s="115">
        <v>1.0</v>
      </c>
      <c r="D137" s="114" t="s">
        <v>632</v>
      </c>
      <c r="E137" s="115" t="s">
        <v>485</v>
      </c>
      <c r="F137" s="145">
        <v>6000.0</v>
      </c>
      <c r="G137" s="12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</row>
    <row r="138">
      <c r="A138" s="113">
        <v>46157.0</v>
      </c>
      <c r="B138" s="114" t="s">
        <v>604</v>
      </c>
      <c r="C138" s="115">
        <v>1.0</v>
      </c>
      <c r="D138" s="114" t="s">
        <v>633</v>
      </c>
      <c r="E138" s="115" t="s">
        <v>485</v>
      </c>
      <c r="F138" s="145">
        <v>13500.0</v>
      </c>
      <c r="G138" s="12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</row>
    <row r="139">
      <c r="A139" s="113">
        <v>46157.0</v>
      </c>
      <c r="B139" s="114" t="s">
        <v>634</v>
      </c>
      <c r="C139" s="115">
        <v>20.0</v>
      </c>
      <c r="D139" s="114" t="s">
        <v>635</v>
      </c>
      <c r="E139" s="115" t="s">
        <v>485</v>
      </c>
      <c r="F139" s="145">
        <v>35000.0</v>
      </c>
      <c r="G139" s="12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</row>
    <row r="140">
      <c r="A140" s="113">
        <v>46158.0</v>
      </c>
      <c r="B140" s="114" t="s">
        <v>636</v>
      </c>
      <c r="C140" s="115">
        <v>10.0</v>
      </c>
      <c r="D140" s="114" t="s">
        <v>637</v>
      </c>
      <c r="E140" s="115" t="s">
        <v>485</v>
      </c>
      <c r="F140" s="145">
        <f>2500*C140</f>
        <v>25000</v>
      </c>
      <c r="G140" s="12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</row>
    <row r="141">
      <c r="A141" s="113">
        <v>46158.0</v>
      </c>
      <c r="B141" s="114" t="s">
        <v>583</v>
      </c>
      <c r="C141" s="115">
        <v>1.0</v>
      </c>
      <c r="D141" s="114" t="s">
        <v>638</v>
      </c>
      <c r="E141" s="115" t="s">
        <v>485</v>
      </c>
      <c r="F141" s="145">
        <v>12500.0</v>
      </c>
      <c r="G141" s="12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</row>
    <row r="142">
      <c r="A142" s="113">
        <v>46158.0</v>
      </c>
      <c r="B142" s="114" t="s">
        <v>583</v>
      </c>
      <c r="C142" s="115">
        <v>1.0</v>
      </c>
      <c r="D142" s="114" t="s">
        <v>639</v>
      </c>
      <c r="E142" s="115" t="s">
        <v>485</v>
      </c>
      <c r="F142" s="145">
        <v>12500.0</v>
      </c>
      <c r="G142" s="12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</row>
    <row r="143">
      <c r="A143" s="113">
        <v>46158.0</v>
      </c>
      <c r="B143" s="114" t="s">
        <v>640</v>
      </c>
      <c r="C143" s="115">
        <v>8.0</v>
      </c>
      <c r="D143" s="114" t="s">
        <v>641</v>
      </c>
      <c r="E143" s="115" t="s">
        <v>485</v>
      </c>
      <c r="F143" s="145">
        <f>14000*C143</f>
        <v>112000</v>
      </c>
      <c r="G143" s="12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</row>
    <row r="144">
      <c r="A144" s="113">
        <v>46158.0</v>
      </c>
      <c r="B144" s="114" t="s">
        <v>583</v>
      </c>
      <c r="C144" s="115">
        <v>1.0</v>
      </c>
      <c r="D144" s="114" t="s">
        <v>642</v>
      </c>
      <c r="E144" s="115" t="s">
        <v>488</v>
      </c>
      <c r="F144" s="145">
        <v>12500.0</v>
      </c>
      <c r="G144" s="12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</row>
    <row r="145">
      <c r="A145" s="113">
        <v>46158.0</v>
      </c>
      <c r="B145" s="114" t="s">
        <v>643</v>
      </c>
      <c r="C145" s="115">
        <v>1.0</v>
      </c>
      <c r="D145" s="114" t="s">
        <v>241</v>
      </c>
      <c r="E145" s="115" t="s">
        <v>488</v>
      </c>
      <c r="F145" s="145">
        <v>25000.0</v>
      </c>
      <c r="G145" s="125" t="s">
        <v>644</v>
      </c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</row>
    <row r="146">
      <c r="A146" s="113">
        <v>46158.0</v>
      </c>
      <c r="B146" s="114" t="s">
        <v>583</v>
      </c>
      <c r="C146" s="115">
        <v>1.0</v>
      </c>
      <c r="D146" s="114" t="s">
        <v>645</v>
      </c>
      <c r="E146" s="115" t="s">
        <v>485</v>
      </c>
      <c r="F146" s="145">
        <v>12500.0</v>
      </c>
      <c r="G146" s="12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</row>
    <row r="147">
      <c r="A147" s="113">
        <v>46159.0</v>
      </c>
      <c r="B147" s="114" t="s">
        <v>583</v>
      </c>
      <c r="C147" s="115">
        <v>1.0</v>
      </c>
      <c r="D147" s="114" t="s">
        <v>177</v>
      </c>
      <c r="E147" s="115" t="s">
        <v>485</v>
      </c>
      <c r="F147" s="145">
        <v>12500.0</v>
      </c>
      <c r="G147" s="12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</row>
    <row r="148">
      <c r="A148" s="113">
        <v>46159.0</v>
      </c>
      <c r="B148" s="114" t="s">
        <v>583</v>
      </c>
      <c r="C148" s="115">
        <v>1.0</v>
      </c>
      <c r="D148" s="114" t="s">
        <v>241</v>
      </c>
      <c r="E148" s="115" t="s">
        <v>485</v>
      </c>
      <c r="F148" s="145">
        <v>12500.0</v>
      </c>
      <c r="G148" s="12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</row>
    <row r="149">
      <c r="A149" s="113">
        <v>46159.0</v>
      </c>
      <c r="B149" s="114" t="s">
        <v>646</v>
      </c>
      <c r="C149" s="115">
        <v>1.0</v>
      </c>
      <c r="D149" s="114" t="s">
        <v>647</v>
      </c>
      <c r="E149" s="115" t="s">
        <v>485</v>
      </c>
      <c r="F149" s="145">
        <v>38000.0</v>
      </c>
      <c r="G149" s="12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</row>
    <row r="150">
      <c r="A150" s="113">
        <v>46159.0</v>
      </c>
      <c r="B150" s="114" t="s">
        <v>583</v>
      </c>
      <c r="C150" s="115">
        <v>1.0</v>
      </c>
      <c r="D150" s="114" t="s">
        <v>241</v>
      </c>
      <c r="E150" s="115" t="s">
        <v>485</v>
      </c>
      <c r="F150" s="145">
        <v>12500.0</v>
      </c>
      <c r="G150" s="12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</row>
    <row r="151">
      <c r="A151" s="113">
        <v>46160.0</v>
      </c>
      <c r="B151" s="114" t="s">
        <v>583</v>
      </c>
      <c r="C151" s="115">
        <v>2.0</v>
      </c>
      <c r="D151" s="114" t="s">
        <v>648</v>
      </c>
      <c r="E151" s="115" t="s">
        <v>485</v>
      </c>
      <c r="F151" s="145">
        <v>25000.0</v>
      </c>
      <c r="G151" s="12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</row>
    <row r="152">
      <c r="A152" s="113">
        <v>46160.0</v>
      </c>
      <c r="B152" s="114" t="s">
        <v>583</v>
      </c>
      <c r="C152" s="115">
        <v>2.0</v>
      </c>
      <c r="D152" s="114" t="s">
        <v>649</v>
      </c>
      <c r="E152" s="115" t="s">
        <v>485</v>
      </c>
      <c r="F152" s="145">
        <v>25000.0</v>
      </c>
      <c r="G152" s="12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</row>
    <row r="153">
      <c r="A153" s="113">
        <v>46160.0</v>
      </c>
      <c r="B153" s="114" t="s">
        <v>620</v>
      </c>
      <c r="C153" s="115">
        <v>2.0</v>
      </c>
      <c r="D153" s="114" t="s">
        <v>650</v>
      </c>
      <c r="E153" s="115" t="s">
        <v>488</v>
      </c>
      <c r="F153" s="145">
        <f>12500+4000</f>
        <v>16500</v>
      </c>
      <c r="G153" s="12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</row>
    <row r="154">
      <c r="A154" s="113">
        <v>46160.0</v>
      </c>
      <c r="B154" s="114" t="s">
        <v>583</v>
      </c>
      <c r="C154" s="115">
        <v>1.0</v>
      </c>
      <c r="D154" s="114" t="s">
        <v>173</v>
      </c>
      <c r="E154" s="115" t="s">
        <v>485</v>
      </c>
      <c r="F154" s="145">
        <v>12500.0</v>
      </c>
      <c r="G154" s="12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</row>
    <row r="155">
      <c r="A155" s="113">
        <v>46160.0</v>
      </c>
      <c r="B155" s="114" t="s">
        <v>651</v>
      </c>
      <c r="C155" s="115">
        <v>2.0</v>
      </c>
      <c r="D155" s="114" t="s">
        <v>474</v>
      </c>
      <c r="E155" s="115" t="s">
        <v>485</v>
      </c>
      <c r="F155" s="145">
        <v>8000.0</v>
      </c>
      <c r="G155" s="12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</row>
    <row r="156">
      <c r="A156" s="113">
        <v>46161.0</v>
      </c>
      <c r="B156" s="114" t="s">
        <v>583</v>
      </c>
      <c r="C156" s="115">
        <v>2.0</v>
      </c>
      <c r="D156" s="114" t="s">
        <v>652</v>
      </c>
      <c r="E156" s="115" t="s">
        <v>485</v>
      </c>
      <c r="F156" s="145">
        <v>25000.0</v>
      </c>
      <c r="G156" s="12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</row>
    <row r="157">
      <c r="A157" s="113">
        <v>46161.0</v>
      </c>
      <c r="B157" s="114" t="s">
        <v>583</v>
      </c>
      <c r="C157" s="115">
        <v>1.0</v>
      </c>
      <c r="D157" s="114" t="s">
        <v>191</v>
      </c>
      <c r="E157" s="115" t="s">
        <v>488</v>
      </c>
      <c r="F157" s="145">
        <v>12500.0</v>
      </c>
      <c r="G157" s="125" t="s">
        <v>653</v>
      </c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</row>
    <row r="158">
      <c r="A158" s="113">
        <v>46161.0</v>
      </c>
      <c r="B158" s="114" t="s">
        <v>583</v>
      </c>
      <c r="C158" s="115">
        <v>2.0</v>
      </c>
      <c r="D158" s="114" t="s">
        <v>193</v>
      </c>
      <c r="E158" s="115" t="s">
        <v>488</v>
      </c>
      <c r="F158" s="145">
        <v>12500.0</v>
      </c>
      <c r="G158" s="12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</row>
    <row r="159">
      <c r="A159" s="113">
        <v>46161.0</v>
      </c>
      <c r="B159" s="114" t="s">
        <v>654</v>
      </c>
      <c r="C159" s="115">
        <v>2.0</v>
      </c>
      <c r="D159" s="114" t="s">
        <v>655</v>
      </c>
      <c r="E159" s="115" t="s">
        <v>485</v>
      </c>
      <c r="F159" s="145">
        <f>4000*C159</f>
        <v>8000</v>
      </c>
      <c r="G159" s="12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</row>
    <row r="160">
      <c r="A160" s="113">
        <v>46161.0</v>
      </c>
      <c r="B160" s="114" t="s">
        <v>607</v>
      </c>
      <c r="C160" s="115">
        <v>1.0</v>
      </c>
      <c r="D160" s="114" t="s">
        <v>656</v>
      </c>
      <c r="E160" s="115" t="s">
        <v>485</v>
      </c>
      <c r="F160" s="145">
        <v>7000.0</v>
      </c>
      <c r="G160" s="12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</row>
    <row r="161">
      <c r="A161" s="113">
        <v>46161.0</v>
      </c>
      <c r="B161" s="114" t="s">
        <v>583</v>
      </c>
      <c r="C161" s="115">
        <v>1.0</v>
      </c>
      <c r="D161" s="114" t="s">
        <v>657</v>
      </c>
      <c r="E161" s="115" t="s">
        <v>485</v>
      </c>
      <c r="F161" s="145">
        <v>12500.0</v>
      </c>
      <c r="G161" s="12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</row>
    <row r="162">
      <c r="A162" s="113">
        <v>46161.0</v>
      </c>
      <c r="B162" s="114" t="s">
        <v>583</v>
      </c>
      <c r="C162" s="115">
        <v>1.0</v>
      </c>
      <c r="D162" s="114" t="s">
        <v>650</v>
      </c>
      <c r="E162" s="115" t="s">
        <v>485</v>
      </c>
      <c r="F162" s="145">
        <v>12500.0</v>
      </c>
      <c r="G162" s="12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</row>
    <row r="163">
      <c r="A163" s="113">
        <v>46161.0</v>
      </c>
      <c r="B163" s="114" t="s">
        <v>658</v>
      </c>
      <c r="C163" s="115">
        <v>3.0</v>
      </c>
      <c r="D163" s="114" t="s">
        <v>101</v>
      </c>
      <c r="E163" s="115" t="s">
        <v>485</v>
      </c>
      <c r="F163" s="145">
        <f>12000*3</f>
        <v>36000</v>
      </c>
      <c r="G163" s="12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</row>
    <row r="164">
      <c r="A164" s="113">
        <v>46161.0</v>
      </c>
      <c r="B164" s="114" t="s">
        <v>583</v>
      </c>
      <c r="C164" s="115">
        <v>1.0</v>
      </c>
      <c r="D164" s="114" t="s">
        <v>659</v>
      </c>
      <c r="E164" s="115" t="s">
        <v>488</v>
      </c>
      <c r="F164" s="145">
        <v>12500.0</v>
      </c>
      <c r="G164" s="12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</row>
    <row r="165">
      <c r="A165" s="113">
        <v>46162.0</v>
      </c>
      <c r="B165" s="114" t="s">
        <v>607</v>
      </c>
      <c r="C165" s="115">
        <v>1.0</v>
      </c>
      <c r="D165" s="114" t="s">
        <v>632</v>
      </c>
      <c r="E165" s="115" t="s">
        <v>485</v>
      </c>
      <c r="F165" s="145">
        <v>7000.0</v>
      </c>
      <c r="G165" s="12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</row>
    <row r="166">
      <c r="A166" s="113">
        <v>46162.0</v>
      </c>
      <c r="B166" s="114" t="s">
        <v>607</v>
      </c>
      <c r="C166" s="115">
        <v>1.0</v>
      </c>
      <c r="D166" s="114" t="s">
        <v>188</v>
      </c>
      <c r="E166" s="115" t="s">
        <v>485</v>
      </c>
      <c r="F166" s="145">
        <v>7000.0</v>
      </c>
      <c r="G166" s="12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</row>
    <row r="167">
      <c r="A167" s="113">
        <v>46162.0</v>
      </c>
      <c r="B167" s="114" t="s">
        <v>607</v>
      </c>
      <c r="C167" s="115">
        <v>1.0</v>
      </c>
      <c r="D167" s="114" t="s">
        <v>241</v>
      </c>
      <c r="E167" s="115" t="s">
        <v>488</v>
      </c>
      <c r="F167" s="145">
        <v>7000.0</v>
      </c>
      <c r="G167" s="12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</row>
    <row r="168">
      <c r="A168" s="113">
        <v>46162.0</v>
      </c>
      <c r="B168" s="114" t="s">
        <v>607</v>
      </c>
      <c r="C168" s="115">
        <v>2.0</v>
      </c>
      <c r="D168" s="114" t="s">
        <v>660</v>
      </c>
      <c r="E168" s="115" t="s">
        <v>488</v>
      </c>
      <c r="F168" s="145">
        <v>14000.0</v>
      </c>
      <c r="G168" s="12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</row>
    <row r="169">
      <c r="A169" s="113">
        <v>46162.0</v>
      </c>
      <c r="B169" s="114" t="s">
        <v>583</v>
      </c>
      <c r="C169" s="115">
        <v>2.0</v>
      </c>
      <c r="D169" s="114" t="s">
        <v>241</v>
      </c>
      <c r="E169" s="115" t="s">
        <v>485</v>
      </c>
      <c r="F169" s="145">
        <v>25000.0</v>
      </c>
      <c r="G169" s="12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</row>
    <row r="170">
      <c r="A170" s="113">
        <v>46162.0</v>
      </c>
      <c r="B170" s="114" t="s">
        <v>661</v>
      </c>
      <c r="C170" s="115">
        <v>7.0</v>
      </c>
      <c r="D170" s="114" t="s">
        <v>662</v>
      </c>
      <c r="E170" s="115" t="s">
        <v>488</v>
      </c>
      <c r="F170" s="145">
        <f>18000*7</f>
        <v>126000</v>
      </c>
      <c r="G170" s="12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</row>
    <row r="171">
      <c r="A171" s="113">
        <v>46162.0</v>
      </c>
      <c r="B171" s="114" t="s">
        <v>663</v>
      </c>
      <c r="C171" s="115">
        <v>6.0</v>
      </c>
      <c r="D171" s="114" t="s">
        <v>662</v>
      </c>
      <c r="E171" s="115" t="s">
        <v>488</v>
      </c>
      <c r="F171" s="145">
        <v>4000.0</v>
      </c>
      <c r="G171" s="12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</row>
    <row r="172">
      <c r="A172" s="113">
        <v>46162.0</v>
      </c>
      <c r="B172" s="114" t="s">
        <v>664</v>
      </c>
      <c r="C172" s="115">
        <v>1.0</v>
      </c>
      <c r="D172" s="114" t="s">
        <v>665</v>
      </c>
      <c r="E172" s="115" t="s">
        <v>485</v>
      </c>
      <c r="F172" s="145">
        <v>22500.0</v>
      </c>
      <c r="G172" s="12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</row>
    <row r="173">
      <c r="A173" s="113">
        <v>46162.0</v>
      </c>
      <c r="B173" s="114" t="s">
        <v>666</v>
      </c>
      <c r="C173" s="115">
        <v>1.0</v>
      </c>
      <c r="D173" s="114" t="s">
        <v>667</v>
      </c>
      <c r="E173" s="115" t="s">
        <v>485</v>
      </c>
      <c r="F173" s="145">
        <v>25000.0</v>
      </c>
      <c r="G173" s="12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</row>
    <row r="174">
      <c r="A174" s="113">
        <v>46163.0</v>
      </c>
      <c r="B174" s="114" t="s">
        <v>668</v>
      </c>
      <c r="C174" s="115">
        <v>1.0</v>
      </c>
      <c r="D174" s="114" t="s">
        <v>669</v>
      </c>
      <c r="E174" s="115" t="s">
        <v>485</v>
      </c>
      <c r="F174" s="145">
        <v>17000.0</v>
      </c>
      <c r="G174" s="12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</row>
    <row r="175">
      <c r="A175" s="113">
        <v>46163.0</v>
      </c>
      <c r="B175" s="114" t="s">
        <v>583</v>
      </c>
      <c r="C175" s="115">
        <v>1.0</v>
      </c>
      <c r="D175" s="114" t="s">
        <v>669</v>
      </c>
      <c r="E175" s="115" t="s">
        <v>485</v>
      </c>
      <c r="F175" s="145">
        <v>12500.0</v>
      </c>
      <c r="G175" s="12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</row>
    <row r="176">
      <c r="A176" s="113">
        <v>46163.0</v>
      </c>
      <c r="B176" s="114" t="s">
        <v>583</v>
      </c>
      <c r="C176" s="115">
        <v>36.0</v>
      </c>
      <c r="D176" s="114" t="s">
        <v>670</v>
      </c>
      <c r="E176" s="115" t="s">
        <v>485</v>
      </c>
      <c r="F176" s="145">
        <f>8700*C176</f>
        <v>313200</v>
      </c>
      <c r="G176" s="12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</row>
    <row r="177">
      <c r="A177" s="113">
        <v>46164.0</v>
      </c>
      <c r="B177" s="114" t="s">
        <v>432</v>
      </c>
      <c r="C177" s="115">
        <v>1.0</v>
      </c>
      <c r="D177" s="114" t="s">
        <v>671</v>
      </c>
      <c r="E177" s="115" t="s">
        <v>485</v>
      </c>
      <c r="F177" s="145">
        <v>19000.0</v>
      </c>
      <c r="G177" s="12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</row>
    <row r="178">
      <c r="A178" s="113">
        <v>46164.0</v>
      </c>
      <c r="B178" s="114" t="s">
        <v>583</v>
      </c>
      <c r="C178" s="115">
        <v>1.0</v>
      </c>
      <c r="D178" s="114" t="s">
        <v>672</v>
      </c>
      <c r="E178" s="115" t="s">
        <v>485</v>
      </c>
      <c r="F178" s="145">
        <v>12500.0</v>
      </c>
      <c r="G178" s="12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</row>
    <row r="179">
      <c r="A179" s="113">
        <v>46165.0</v>
      </c>
      <c r="B179" s="114" t="s">
        <v>583</v>
      </c>
      <c r="C179" s="115">
        <v>1.0</v>
      </c>
      <c r="D179" s="114" t="s">
        <v>673</v>
      </c>
      <c r="E179" s="115" t="s">
        <v>485</v>
      </c>
      <c r="F179" s="145">
        <v>12500.0</v>
      </c>
      <c r="G179" s="124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</row>
    <row r="180">
      <c r="A180" s="113">
        <v>46165.0</v>
      </c>
      <c r="B180" s="114" t="s">
        <v>583</v>
      </c>
      <c r="C180" s="115">
        <v>1.0</v>
      </c>
      <c r="D180" s="114" t="s">
        <v>674</v>
      </c>
      <c r="E180" s="115" t="s">
        <v>485</v>
      </c>
      <c r="F180" s="145">
        <v>12500.0</v>
      </c>
      <c r="G180" s="124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</row>
    <row r="181">
      <c r="A181" s="113">
        <v>46168.0</v>
      </c>
      <c r="B181" s="114" t="s">
        <v>583</v>
      </c>
      <c r="C181" s="115">
        <v>1.0</v>
      </c>
      <c r="D181" s="114" t="s">
        <v>675</v>
      </c>
      <c r="E181" s="115" t="s">
        <v>485</v>
      </c>
      <c r="F181" s="145">
        <v>12500.0</v>
      </c>
      <c r="G181" s="124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</row>
    <row r="182">
      <c r="A182" s="113">
        <v>46169.0</v>
      </c>
      <c r="B182" s="114" t="s">
        <v>676</v>
      </c>
      <c r="C182" s="115">
        <v>1.0</v>
      </c>
      <c r="D182" s="114" t="s">
        <v>677</v>
      </c>
      <c r="E182" s="115" t="s">
        <v>485</v>
      </c>
      <c r="F182" s="145">
        <v>35000.0</v>
      </c>
      <c r="G182" s="124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</row>
    <row r="183">
      <c r="A183" s="113">
        <v>46169.0</v>
      </c>
      <c r="B183" s="114" t="s">
        <v>195</v>
      </c>
      <c r="C183" s="115">
        <v>1.0</v>
      </c>
      <c r="D183" s="114" t="s">
        <v>193</v>
      </c>
      <c r="E183" s="115" t="s">
        <v>488</v>
      </c>
      <c r="F183" s="145">
        <v>6000.0</v>
      </c>
      <c r="G183" s="124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</row>
    <row r="184">
      <c r="A184" s="113">
        <v>46169.0</v>
      </c>
      <c r="B184" s="114" t="s">
        <v>678</v>
      </c>
      <c r="C184" s="115">
        <v>2.0</v>
      </c>
      <c r="D184" s="114" t="s">
        <v>669</v>
      </c>
      <c r="E184" s="115" t="s">
        <v>488</v>
      </c>
      <c r="F184" s="145">
        <v>14000.0</v>
      </c>
      <c r="G184" s="124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</row>
    <row r="185">
      <c r="A185" s="113">
        <v>46170.0</v>
      </c>
      <c r="B185" s="114" t="s">
        <v>679</v>
      </c>
      <c r="C185" s="115">
        <v>1.0</v>
      </c>
      <c r="D185" s="114" t="s">
        <v>680</v>
      </c>
      <c r="E185" s="115" t="s">
        <v>485</v>
      </c>
      <c r="F185" s="145">
        <v>27000.0</v>
      </c>
      <c r="G185" s="124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</row>
    <row r="186">
      <c r="A186" s="113">
        <v>46170.0</v>
      </c>
      <c r="B186" s="114" t="s">
        <v>681</v>
      </c>
      <c r="C186" s="115">
        <v>10.0</v>
      </c>
      <c r="D186" s="114" t="s">
        <v>682</v>
      </c>
      <c r="E186" s="115" t="s">
        <v>488</v>
      </c>
      <c r="F186" s="145">
        <v>35000.0</v>
      </c>
      <c r="G186" s="124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</row>
    <row r="187">
      <c r="A187" s="113">
        <v>46170.0</v>
      </c>
      <c r="B187" s="114" t="s">
        <v>683</v>
      </c>
      <c r="C187" s="115">
        <v>4.0</v>
      </c>
      <c r="D187" s="114" t="s">
        <v>684</v>
      </c>
      <c r="E187" s="115" t="s">
        <v>485</v>
      </c>
      <c r="F187" s="145">
        <f>19000*4</f>
        <v>76000</v>
      </c>
      <c r="G187" s="124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</row>
    <row r="188">
      <c r="A188" s="113">
        <v>46170.0</v>
      </c>
      <c r="B188" s="114" t="s">
        <v>685</v>
      </c>
      <c r="C188" s="115">
        <v>1.0</v>
      </c>
      <c r="D188" s="114" t="s">
        <v>686</v>
      </c>
      <c r="E188" s="115" t="s">
        <v>485</v>
      </c>
      <c r="F188" s="145">
        <v>22500.0</v>
      </c>
      <c r="G188" s="124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</row>
    <row r="189">
      <c r="A189" s="113">
        <v>46170.0</v>
      </c>
      <c r="B189" s="114" t="s">
        <v>583</v>
      </c>
      <c r="C189" s="115">
        <v>2.0</v>
      </c>
      <c r="D189" s="114" t="s">
        <v>687</v>
      </c>
      <c r="E189" s="115" t="s">
        <v>485</v>
      </c>
      <c r="F189" s="145">
        <v>25000.0</v>
      </c>
      <c r="G189" s="124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</row>
    <row r="190">
      <c r="A190" s="113">
        <v>46170.0</v>
      </c>
      <c r="B190" s="114" t="s">
        <v>583</v>
      </c>
      <c r="C190" s="115">
        <v>1.0</v>
      </c>
      <c r="D190" s="114" t="s">
        <v>688</v>
      </c>
      <c r="E190" s="115" t="s">
        <v>485</v>
      </c>
      <c r="F190" s="145">
        <v>12500.0</v>
      </c>
      <c r="G190" s="124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</row>
    <row r="191">
      <c r="A191" s="113">
        <v>46170.0</v>
      </c>
      <c r="B191" s="114" t="s">
        <v>678</v>
      </c>
      <c r="C191" s="115">
        <v>1.0</v>
      </c>
      <c r="D191" s="114" t="s">
        <v>220</v>
      </c>
      <c r="E191" s="115" t="s">
        <v>485</v>
      </c>
      <c r="F191" s="145">
        <v>7000.0</v>
      </c>
      <c r="G191" s="124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</row>
    <row r="192">
      <c r="A192" s="113">
        <v>46170.0</v>
      </c>
      <c r="B192" s="114" t="s">
        <v>583</v>
      </c>
      <c r="C192" s="115">
        <v>1.0</v>
      </c>
      <c r="D192" s="114" t="s">
        <v>689</v>
      </c>
      <c r="E192" s="115" t="s">
        <v>485</v>
      </c>
      <c r="F192" s="145">
        <v>12500.0</v>
      </c>
      <c r="G192" s="124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</row>
    <row r="193">
      <c r="A193" s="113">
        <v>46170.0</v>
      </c>
      <c r="B193" s="114" t="s">
        <v>681</v>
      </c>
      <c r="C193" s="115">
        <v>15.0</v>
      </c>
      <c r="D193" s="114" t="s">
        <v>690</v>
      </c>
      <c r="E193" s="115" t="s">
        <v>485</v>
      </c>
      <c r="F193" s="145">
        <f>3800*15</f>
        <v>57000</v>
      </c>
      <c r="G193" s="124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</row>
    <row r="194">
      <c r="A194" s="113">
        <v>46171.0</v>
      </c>
      <c r="B194" s="114" t="s">
        <v>587</v>
      </c>
      <c r="C194" s="115">
        <v>1.0</v>
      </c>
      <c r="D194" s="114" t="s">
        <v>691</v>
      </c>
      <c r="E194" s="115" t="s">
        <v>488</v>
      </c>
      <c r="F194" s="145">
        <v>19000.0</v>
      </c>
      <c r="G194" s="124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</row>
    <row r="195">
      <c r="A195" s="113">
        <v>46171.0</v>
      </c>
      <c r="B195" s="114" t="s">
        <v>692</v>
      </c>
      <c r="C195" s="115">
        <v>1.0</v>
      </c>
      <c r="D195" s="114" t="s">
        <v>606</v>
      </c>
      <c r="E195" s="115" t="s">
        <v>485</v>
      </c>
      <c r="F195" s="145">
        <v>12500.0</v>
      </c>
      <c r="G195" s="124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</row>
    <row r="196">
      <c r="A196" s="113">
        <v>46171.0</v>
      </c>
      <c r="B196" s="114" t="s">
        <v>583</v>
      </c>
      <c r="C196" s="115">
        <v>1.0</v>
      </c>
      <c r="D196" s="114" t="s">
        <v>693</v>
      </c>
      <c r="E196" s="115" t="s">
        <v>485</v>
      </c>
      <c r="F196" s="145">
        <v>12500.0</v>
      </c>
      <c r="G196" s="124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</row>
    <row r="197">
      <c r="A197" s="113">
        <v>46171.0</v>
      </c>
      <c r="B197" s="114" t="s">
        <v>678</v>
      </c>
      <c r="C197" s="115">
        <v>1.0</v>
      </c>
      <c r="D197" s="114" t="s">
        <v>224</v>
      </c>
      <c r="E197" s="115" t="s">
        <v>485</v>
      </c>
      <c r="F197" s="145">
        <v>7000.0</v>
      </c>
      <c r="G197" s="124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</row>
    <row r="198">
      <c r="A198" s="113">
        <v>46171.0</v>
      </c>
      <c r="B198" s="114" t="s">
        <v>583</v>
      </c>
      <c r="C198" s="115">
        <v>1.0</v>
      </c>
      <c r="D198" s="114" t="s">
        <v>241</v>
      </c>
      <c r="E198" s="115" t="s">
        <v>485</v>
      </c>
      <c r="F198" s="145">
        <v>12500.0</v>
      </c>
      <c r="G198" s="124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</row>
    <row r="199">
      <c r="A199" s="113">
        <v>46171.0</v>
      </c>
      <c r="B199" s="114" t="s">
        <v>583</v>
      </c>
      <c r="C199" s="115">
        <v>1.0</v>
      </c>
      <c r="D199" s="114" t="s">
        <v>241</v>
      </c>
      <c r="E199" s="115" t="s">
        <v>485</v>
      </c>
      <c r="F199" s="145">
        <v>12500.0</v>
      </c>
      <c r="G199" s="124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</row>
    <row r="200">
      <c r="A200" s="113">
        <v>46171.0</v>
      </c>
      <c r="B200" s="114" t="s">
        <v>583</v>
      </c>
      <c r="C200" s="115">
        <v>1.0</v>
      </c>
      <c r="D200" s="114" t="s">
        <v>694</v>
      </c>
      <c r="E200" s="115" t="s">
        <v>485</v>
      </c>
      <c r="F200" s="145">
        <v>12500.0</v>
      </c>
      <c r="G200" s="124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</row>
    <row r="201">
      <c r="A201" s="113">
        <v>46171.0</v>
      </c>
      <c r="B201" s="114" t="s">
        <v>643</v>
      </c>
      <c r="C201" s="115">
        <v>1.0</v>
      </c>
      <c r="D201" s="114" t="s">
        <v>241</v>
      </c>
      <c r="E201" s="115" t="s">
        <v>485</v>
      </c>
      <c r="F201" s="145">
        <v>27000.0</v>
      </c>
      <c r="G201" s="124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</row>
    <row r="202">
      <c r="A202" s="113">
        <v>46171.0</v>
      </c>
      <c r="B202" s="114" t="s">
        <v>695</v>
      </c>
      <c r="C202" s="115">
        <v>1.0</v>
      </c>
      <c r="D202" s="114" t="s">
        <v>241</v>
      </c>
      <c r="E202" s="115" t="s">
        <v>485</v>
      </c>
      <c r="F202" s="145">
        <v>22500.0</v>
      </c>
      <c r="G202" s="124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</row>
    <row r="203">
      <c r="A203" s="113">
        <v>46171.0</v>
      </c>
      <c r="B203" s="114" t="s">
        <v>696</v>
      </c>
      <c r="C203" s="115">
        <v>2.0</v>
      </c>
      <c r="D203" s="114" t="s">
        <v>241</v>
      </c>
      <c r="E203" s="115" t="s">
        <v>485</v>
      </c>
      <c r="F203" s="145">
        <v>25000.0</v>
      </c>
      <c r="G203" s="124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</row>
    <row r="204">
      <c r="A204" s="113">
        <v>46171.0</v>
      </c>
      <c r="B204" s="114" t="s">
        <v>696</v>
      </c>
      <c r="C204" s="115">
        <v>1.0</v>
      </c>
      <c r="D204" s="114" t="s">
        <v>697</v>
      </c>
      <c r="E204" s="115" t="s">
        <v>485</v>
      </c>
      <c r="F204" s="145">
        <v>12500.0</v>
      </c>
      <c r="G204" s="124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</row>
    <row r="205">
      <c r="A205" s="113">
        <v>46203.0</v>
      </c>
      <c r="B205" s="114" t="s">
        <v>696</v>
      </c>
      <c r="C205" s="115">
        <v>2.0</v>
      </c>
      <c r="D205" s="114" t="s">
        <v>222</v>
      </c>
      <c r="E205" s="115" t="s">
        <v>485</v>
      </c>
      <c r="F205" s="145">
        <f>12500*C205</f>
        <v>25000</v>
      </c>
      <c r="G205" s="124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</row>
    <row r="206">
      <c r="A206" s="113">
        <v>46203.0</v>
      </c>
      <c r="B206" s="114" t="s">
        <v>698</v>
      </c>
      <c r="C206" s="115">
        <v>1.0</v>
      </c>
      <c r="D206" s="114" t="s">
        <v>183</v>
      </c>
      <c r="E206" s="115" t="s">
        <v>485</v>
      </c>
      <c r="F206" s="145">
        <v>15500.0</v>
      </c>
      <c r="G206" s="124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</row>
    <row r="207">
      <c r="A207" s="113">
        <v>46203.0</v>
      </c>
      <c r="B207" s="114" t="s">
        <v>696</v>
      </c>
      <c r="C207" s="115">
        <v>2.0</v>
      </c>
      <c r="D207" s="114" t="s">
        <v>699</v>
      </c>
      <c r="E207" s="115" t="s">
        <v>488</v>
      </c>
      <c r="F207" s="145">
        <f>12500*C207</f>
        <v>25000</v>
      </c>
      <c r="G207" s="124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</row>
    <row r="208">
      <c r="A208" s="113">
        <v>46203.0</v>
      </c>
      <c r="B208" s="114" t="s">
        <v>696</v>
      </c>
      <c r="C208" s="115">
        <v>1.0</v>
      </c>
      <c r="D208" s="114" t="s">
        <v>700</v>
      </c>
      <c r="E208" s="115" t="s">
        <v>485</v>
      </c>
      <c r="F208" s="145">
        <v>12500.0</v>
      </c>
      <c r="G208" s="124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</row>
    <row r="209">
      <c r="A209" s="113">
        <v>46203.0</v>
      </c>
      <c r="B209" s="114" t="s">
        <v>696</v>
      </c>
      <c r="C209" s="115">
        <v>1.0</v>
      </c>
      <c r="D209" s="114" t="s">
        <v>701</v>
      </c>
      <c r="E209" s="115" t="s">
        <v>485</v>
      </c>
      <c r="F209" s="145">
        <v>12500.0</v>
      </c>
      <c r="G209" s="124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</row>
    <row r="210">
      <c r="A210" s="113">
        <v>46203.0</v>
      </c>
      <c r="B210" s="114" t="s">
        <v>696</v>
      </c>
      <c r="C210" s="115">
        <v>3.0</v>
      </c>
      <c r="D210" s="114" t="s">
        <v>702</v>
      </c>
      <c r="E210" s="115" t="s">
        <v>485</v>
      </c>
      <c r="F210" s="145">
        <f>12500*C210</f>
        <v>37500</v>
      </c>
      <c r="G210" s="124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</row>
    <row r="211">
      <c r="A211" s="113">
        <v>46173.0</v>
      </c>
      <c r="B211" s="114" t="s">
        <v>696</v>
      </c>
      <c r="C211" s="115">
        <v>1.0</v>
      </c>
      <c r="D211" s="114" t="s">
        <v>703</v>
      </c>
      <c r="E211" s="115" t="s">
        <v>485</v>
      </c>
      <c r="F211" s="145">
        <v>12500.0</v>
      </c>
      <c r="G211" s="124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</row>
    <row r="212">
      <c r="A212" s="113">
        <v>46173.0</v>
      </c>
      <c r="B212" s="114" t="s">
        <v>696</v>
      </c>
      <c r="C212" s="115">
        <v>2.0</v>
      </c>
      <c r="D212" s="114" t="s">
        <v>484</v>
      </c>
      <c r="E212" s="115" t="s">
        <v>485</v>
      </c>
      <c r="F212" s="145">
        <f>12500*2</f>
        <v>25000</v>
      </c>
      <c r="G212" s="124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</row>
    <row r="213">
      <c r="A213" s="147" t="s">
        <v>573</v>
      </c>
      <c r="B213" s="133"/>
      <c r="C213" s="133"/>
      <c r="D213" s="133"/>
      <c r="E213" s="134"/>
      <c r="F213" s="148">
        <f>SUM(F82:F212)</f>
        <v>3121200</v>
      </c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</row>
    <row r="214">
      <c r="A214" s="136"/>
      <c r="B214" s="136"/>
      <c r="C214" s="136"/>
      <c r="D214" s="136"/>
      <c r="E214" s="136"/>
      <c r="F214" s="136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</row>
    <row r="215">
      <c r="A215" s="136"/>
      <c r="B215" s="136"/>
      <c r="C215" s="136"/>
      <c r="D215" s="136"/>
      <c r="E215" s="136"/>
      <c r="F215" s="136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</row>
    <row r="216">
      <c r="A216" s="102" t="s">
        <v>704</v>
      </c>
      <c r="B216" s="103"/>
      <c r="C216" s="103"/>
      <c r="D216" s="103"/>
      <c r="E216" s="103"/>
      <c r="F216" s="104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</row>
    <row r="217">
      <c r="A217" s="137" t="s">
        <v>478</v>
      </c>
      <c r="B217" s="138" t="s">
        <v>2</v>
      </c>
      <c r="C217" s="139" t="s">
        <v>479</v>
      </c>
      <c r="D217" s="139" t="s">
        <v>1</v>
      </c>
      <c r="E217" s="138" t="s">
        <v>480</v>
      </c>
      <c r="F217" s="140" t="s">
        <v>481</v>
      </c>
      <c r="G217" s="141" t="s">
        <v>482</v>
      </c>
      <c r="H217" s="142"/>
      <c r="I217" s="142"/>
      <c r="J217" s="142"/>
      <c r="K217" s="143"/>
      <c r="L217" s="144"/>
      <c r="M217" s="144"/>
      <c r="N217" s="144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</row>
    <row r="218">
      <c r="A218" s="113">
        <v>46113.0</v>
      </c>
      <c r="B218" s="119" t="s">
        <v>705</v>
      </c>
      <c r="C218" s="115">
        <v>1.0</v>
      </c>
      <c r="D218" s="114"/>
      <c r="E218" s="115" t="s">
        <v>485</v>
      </c>
      <c r="F218" s="145">
        <v>18700.0</v>
      </c>
      <c r="G218" s="117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</row>
    <row r="219">
      <c r="A219" s="113">
        <v>46113.0</v>
      </c>
      <c r="B219" s="119" t="s">
        <v>706</v>
      </c>
      <c r="C219" s="115">
        <v>1.0</v>
      </c>
      <c r="D219" s="114"/>
      <c r="E219" s="115" t="s">
        <v>485</v>
      </c>
      <c r="F219" s="145">
        <v>28500.0</v>
      </c>
      <c r="G219" s="117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</row>
    <row r="220">
      <c r="A220" s="113">
        <v>46114.0</v>
      </c>
      <c r="B220" s="119" t="s">
        <v>707</v>
      </c>
      <c r="C220" s="115">
        <v>1.0</v>
      </c>
      <c r="D220" s="114" t="s">
        <v>708</v>
      </c>
      <c r="E220" s="115" t="s">
        <v>485</v>
      </c>
      <c r="F220" s="145">
        <v>13000.0</v>
      </c>
      <c r="G220" s="117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</row>
    <row r="221">
      <c r="A221" s="113">
        <v>46114.0</v>
      </c>
      <c r="B221" s="119" t="s">
        <v>709</v>
      </c>
      <c r="C221" s="115">
        <v>1.0</v>
      </c>
      <c r="D221" s="114" t="s">
        <v>710</v>
      </c>
      <c r="E221" s="115" t="s">
        <v>488</v>
      </c>
      <c r="F221" s="145">
        <v>11500.0</v>
      </c>
      <c r="G221" s="117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</row>
    <row r="222">
      <c r="A222" s="113">
        <v>46114.0</v>
      </c>
      <c r="B222" s="114" t="s">
        <v>493</v>
      </c>
      <c r="C222" s="115">
        <v>1.0</v>
      </c>
      <c r="D222" s="114" t="s">
        <v>711</v>
      </c>
      <c r="E222" s="115" t="s">
        <v>488</v>
      </c>
      <c r="F222" s="145">
        <v>22500.0</v>
      </c>
      <c r="G222" s="117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</row>
    <row r="223">
      <c r="A223" s="113">
        <v>46116.0</v>
      </c>
      <c r="B223" s="114" t="s">
        <v>712</v>
      </c>
      <c r="C223" s="115">
        <v>1.0</v>
      </c>
      <c r="D223" s="114" t="s">
        <v>713</v>
      </c>
      <c r="E223" s="115" t="s">
        <v>485</v>
      </c>
      <c r="F223" s="145">
        <v>22500.0</v>
      </c>
      <c r="G223" s="117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</row>
    <row r="224">
      <c r="A224" s="113">
        <v>46116.0</v>
      </c>
      <c r="B224" s="114" t="s">
        <v>714</v>
      </c>
      <c r="C224" s="115">
        <v>3.0</v>
      </c>
      <c r="D224" s="114" t="s">
        <v>474</v>
      </c>
      <c r="E224" s="115" t="s">
        <v>485</v>
      </c>
      <c r="F224" s="145">
        <f>13000*C224</f>
        <v>39000</v>
      </c>
      <c r="G224" s="117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</row>
    <row r="225">
      <c r="A225" s="113">
        <v>46116.0</v>
      </c>
      <c r="B225" s="114" t="s">
        <v>715</v>
      </c>
      <c r="C225" s="115">
        <v>3.0</v>
      </c>
      <c r="D225" s="114" t="s">
        <v>241</v>
      </c>
      <c r="E225" s="115" t="s">
        <v>485</v>
      </c>
      <c r="F225" s="145">
        <f>19000*C225</f>
        <v>57000</v>
      </c>
      <c r="G225" s="117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</row>
    <row r="226">
      <c r="A226" s="113">
        <v>46116.0</v>
      </c>
      <c r="B226" s="114" t="s">
        <v>716</v>
      </c>
      <c r="C226" s="115">
        <v>3.0</v>
      </c>
      <c r="D226" s="114" t="s">
        <v>717</v>
      </c>
      <c r="E226" s="115" t="s">
        <v>485</v>
      </c>
      <c r="F226" s="145">
        <f>11500*C226</f>
        <v>34500</v>
      </c>
      <c r="G226" s="117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</row>
    <row r="227">
      <c r="A227" s="113">
        <v>46116.0</v>
      </c>
      <c r="B227" s="114" t="s">
        <v>718</v>
      </c>
      <c r="C227" s="115">
        <v>3.0</v>
      </c>
      <c r="D227" s="114" t="s">
        <v>56</v>
      </c>
      <c r="E227" s="115" t="s">
        <v>485</v>
      </c>
      <c r="F227" s="145">
        <f>18000*C227</f>
        <v>54000</v>
      </c>
      <c r="G227" s="117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</row>
    <row r="228">
      <c r="A228" s="113">
        <v>46116.0</v>
      </c>
      <c r="B228" s="114" t="s">
        <v>719</v>
      </c>
      <c r="C228" s="115">
        <v>50.0</v>
      </c>
      <c r="D228" s="114" t="s">
        <v>720</v>
      </c>
      <c r="E228" s="115" t="s">
        <v>485</v>
      </c>
      <c r="F228" s="145">
        <f>8500*C228</f>
        <v>425000</v>
      </c>
      <c r="G228" s="117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</row>
    <row r="229">
      <c r="A229" s="113">
        <v>46117.0</v>
      </c>
      <c r="B229" s="114" t="s">
        <v>640</v>
      </c>
      <c r="C229" s="115">
        <v>2.0</v>
      </c>
      <c r="D229" s="114" t="s">
        <v>721</v>
      </c>
      <c r="E229" s="115" t="s">
        <v>485</v>
      </c>
      <c r="F229" s="145">
        <v>20000.0</v>
      </c>
      <c r="G229" s="117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</row>
    <row r="230">
      <c r="A230" s="113">
        <v>46117.0</v>
      </c>
      <c r="B230" s="114" t="s">
        <v>722</v>
      </c>
      <c r="C230" s="115">
        <v>8.0</v>
      </c>
      <c r="D230" s="114" t="s">
        <v>721</v>
      </c>
      <c r="E230" s="115" t="s">
        <v>485</v>
      </c>
      <c r="F230" s="145">
        <f>1500*C230</f>
        <v>12000</v>
      </c>
      <c r="G230" s="117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</row>
    <row r="231">
      <c r="A231" s="113">
        <v>46117.0</v>
      </c>
      <c r="B231" s="114" t="s">
        <v>723</v>
      </c>
      <c r="C231" s="115">
        <v>1.0</v>
      </c>
      <c r="D231" s="114" t="s">
        <v>721</v>
      </c>
      <c r="E231" s="115" t="s">
        <v>485</v>
      </c>
      <c r="F231" s="145">
        <v>10000.0</v>
      </c>
      <c r="G231" s="117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</row>
    <row r="232">
      <c r="A232" s="113">
        <v>46118.0</v>
      </c>
      <c r="B232" s="114" t="s">
        <v>724</v>
      </c>
      <c r="C232" s="115">
        <v>1.0</v>
      </c>
      <c r="D232" s="114" t="s">
        <v>725</v>
      </c>
      <c r="E232" s="115" t="s">
        <v>485</v>
      </c>
      <c r="F232" s="145">
        <v>19000.0</v>
      </c>
      <c r="G232" s="117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</row>
    <row r="233">
      <c r="A233" s="113">
        <v>46120.0</v>
      </c>
      <c r="B233" s="114" t="s">
        <v>722</v>
      </c>
      <c r="C233" s="115">
        <v>37.0</v>
      </c>
      <c r="D233" s="114" t="s">
        <v>726</v>
      </c>
      <c r="E233" s="115" t="s">
        <v>485</v>
      </c>
      <c r="F233" s="145">
        <f>1200*C233</f>
        <v>44400</v>
      </c>
      <c r="G233" s="117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</row>
    <row r="234">
      <c r="A234" s="113">
        <v>46121.0</v>
      </c>
      <c r="B234" s="114" t="s">
        <v>727</v>
      </c>
      <c r="C234" s="115">
        <v>2.0</v>
      </c>
      <c r="D234" s="114" t="s">
        <v>728</v>
      </c>
      <c r="E234" s="115" t="s">
        <v>485</v>
      </c>
      <c r="F234" s="145">
        <v>30000.0</v>
      </c>
      <c r="G234" s="117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</row>
    <row r="235">
      <c r="A235" s="113">
        <v>46122.0</v>
      </c>
      <c r="B235" s="114" t="s">
        <v>729</v>
      </c>
      <c r="C235" s="115">
        <v>1.0</v>
      </c>
      <c r="D235" s="114" t="s">
        <v>241</v>
      </c>
      <c r="E235" s="115" t="s">
        <v>485</v>
      </c>
      <c r="F235" s="145">
        <v>28900.0</v>
      </c>
      <c r="G235" s="117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</row>
    <row r="236">
      <c r="A236" s="113">
        <v>46122.0</v>
      </c>
      <c r="B236" s="114" t="s">
        <v>730</v>
      </c>
      <c r="C236" s="115">
        <v>20.0</v>
      </c>
      <c r="D236" s="114" t="s">
        <v>731</v>
      </c>
      <c r="E236" s="115" t="s">
        <v>485</v>
      </c>
      <c r="F236" s="145">
        <f>1500*C236</f>
        <v>30000</v>
      </c>
      <c r="G236" s="117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</row>
    <row r="237">
      <c r="A237" s="113">
        <v>46122.0</v>
      </c>
      <c r="B237" s="114" t="s">
        <v>732</v>
      </c>
      <c r="C237" s="115">
        <v>1.0</v>
      </c>
      <c r="D237" s="114" t="s">
        <v>733</v>
      </c>
      <c r="E237" s="115" t="s">
        <v>488</v>
      </c>
      <c r="F237" s="145">
        <v>13000.0</v>
      </c>
      <c r="G237" s="117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</row>
    <row r="238">
      <c r="A238" s="113">
        <v>46122.0</v>
      </c>
      <c r="B238" s="114" t="s">
        <v>664</v>
      </c>
      <c r="C238" s="115">
        <v>1.0</v>
      </c>
      <c r="D238" s="114" t="s">
        <v>734</v>
      </c>
      <c r="E238" s="115" t="s">
        <v>488</v>
      </c>
      <c r="F238" s="145">
        <v>22500.0</v>
      </c>
      <c r="G238" s="117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</row>
    <row r="239">
      <c r="A239" s="113">
        <v>46123.0</v>
      </c>
      <c r="B239" s="114" t="s">
        <v>735</v>
      </c>
      <c r="C239" s="115">
        <v>30.0</v>
      </c>
      <c r="D239" s="114" t="s">
        <v>588</v>
      </c>
      <c r="E239" s="115" t="s">
        <v>485</v>
      </c>
      <c r="F239" s="145">
        <f>1500*C239</f>
        <v>45000</v>
      </c>
      <c r="G239" s="117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</row>
    <row r="240">
      <c r="A240" s="113">
        <v>46123.0</v>
      </c>
      <c r="B240" s="114" t="s">
        <v>736</v>
      </c>
      <c r="C240" s="115">
        <v>1.0</v>
      </c>
      <c r="D240" s="114" t="s">
        <v>737</v>
      </c>
      <c r="E240" s="115" t="s">
        <v>485</v>
      </c>
      <c r="F240" s="145">
        <v>19000.0</v>
      </c>
      <c r="G240" s="117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</row>
    <row r="241">
      <c r="A241" s="113">
        <v>46123.0</v>
      </c>
      <c r="B241" s="114" t="s">
        <v>738</v>
      </c>
      <c r="C241" s="115">
        <v>1.0</v>
      </c>
      <c r="D241" s="114" t="s">
        <v>739</v>
      </c>
      <c r="E241" s="115" t="s">
        <v>485</v>
      </c>
      <c r="F241" s="145">
        <v>27000.0</v>
      </c>
      <c r="G241" s="117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</row>
    <row r="242">
      <c r="A242" s="113">
        <v>46125.0</v>
      </c>
      <c r="B242" s="114" t="s">
        <v>740</v>
      </c>
      <c r="C242" s="115">
        <v>1.0</v>
      </c>
      <c r="D242" s="114" t="s">
        <v>741</v>
      </c>
      <c r="E242" s="115" t="s">
        <v>485</v>
      </c>
      <c r="F242" s="145">
        <v>3500.0</v>
      </c>
      <c r="G242" s="117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</row>
    <row r="243">
      <c r="A243" s="113">
        <v>46125.0</v>
      </c>
      <c r="B243" s="114" t="s">
        <v>742</v>
      </c>
      <c r="C243" s="115">
        <v>1.0</v>
      </c>
      <c r="D243" s="114" t="s">
        <v>725</v>
      </c>
      <c r="E243" s="115" t="s">
        <v>485</v>
      </c>
      <c r="F243" s="145">
        <v>23400.0</v>
      </c>
      <c r="G243" s="117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</row>
    <row r="244">
      <c r="A244" s="113">
        <v>46126.0</v>
      </c>
      <c r="B244" s="114" t="s">
        <v>743</v>
      </c>
      <c r="C244" s="115">
        <v>1.0</v>
      </c>
      <c r="D244" s="114" t="s">
        <v>744</v>
      </c>
      <c r="E244" s="115" t="s">
        <v>485</v>
      </c>
      <c r="F244" s="145">
        <v>15500.0</v>
      </c>
      <c r="G244" s="117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</row>
    <row r="245">
      <c r="A245" s="113">
        <v>46126.0</v>
      </c>
      <c r="B245" s="114" t="s">
        <v>745</v>
      </c>
      <c r="C245" s="115">
        <v>6.0</v>
      </c>
      <c r="D245" s="114" t="s">
        <v>746</v>
      </c>
      <c r="E245" s="115" t="s">
        <v>488</v>
      </c>
      <c r="F245" s="145">
        <v>21000.0</v>
      </c>
      <c r="G245" s="124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</row>
    <row r="246">
      <c r="A246" s="113">
        <v>46127.0</v>
      </c>
      <c r="B246" s="114" t="s">
        <v>745</v>
      </c>
      <c r="C246" s="115">
        <v>1.0</v>
      </c>
      <c r="D246" s="114" t="s">
        <v>747</v>
      </c>
      <c r="E246" s="115" t="s">
        <v>485</v>
      </c>
      <c r="F246" s="145">
        <v>4000.0</v>
      </c>
      <c r="G246" s="124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</row>
    <row r="247">
      <c r="A247" s="113">
        <v>46127.0</v>
      </c>
      <c r="B247" s="114" t="s">
        <v>748</v>
      </c>
      <c r="C247" s="115">
        <v>1.0</v>
      </c>
      <c r="D247" s="114" t="s">
        <v>749</v>
      </c>
      <c r="E247" s="115" t="s">
        <v>485</v>
      </c>
      <c r="F247" s="145">
        <v>27000.0</v>
      </c>
      <c r="G247" s="124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</row>
    <row r="248">
      <c r="A248" s="113">
        <v>46127.0</v>
      </c>
      <c r="B248" s="114" t="s">
        <v>745</v>
      </c>
      <c r="C248" s="115">
        <v>4.0</v>
      </c>
      <c r="D248" s="114" t="s">
        <v>750</v>
      </c>
      <c r="E248" s="115" t="s">
        <v>488</v>
      </c>
      <c r="F248" s="145">
        <v>16000.0</v>
      </c>
      <c r="G248" s="124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</row>
    <row r="249">
      <c r="A249" s="113">
        <v>46128.0</v>
      </c>
      <c r="B249" s="114" t="s">
        <v>718</v>
      </c>
      <c r="C249" s="115">
        <v>5.0</v>
      </c>
      <c r="D249" s="114" t="s">
        <v>751</v>
      </c>
      <c r="E249" s="115" t="s">
        <v>485</v>
      </c>
      <c r="F249" s="145">
        <f>18000*C249</f>
        <v>90000</v>
      </c>
      <c r="G249" s="124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</row>
    <row r="250">
      <c r="A250" s="113">
        <v>46128.0</v>
      </c>
      <c r="B250" s="114" t="s">
        <v>745</v>
      </c>
      <c r="C250" s="115">
        <v>4.0</v>
      </c>
      <c r="D250" s="114" t="s">
        <v>752</v>
      </c>
      <c r="E250" s="115" t="s">
        <v>485</v>
      </c>
      <c r="F250" s="145">
        <f>3000*C250</f>
        <v>12000</v>
      </c>
      <c r="G250" s="124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</row>
    <row r="251">
      <c r="A251" s="113">
        <v>46128.0</v>
      </c>
      <c r="B251" s="114" t="s">
        <v>753</v>
      </c>
      <c r="C251" s="115">
        <v>2.0</v>
      </c>
      <c r="D251" s="114" t="s">
        <v>754</v>
      </c>
      <c r="E251" s="115" t="s">
        <v>485</v>
      </c>
      <c r="F251" s="145">
        <v>26000.0</v>
      </c>
      <c r="G251" s="124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</row>
    <row r="252">
      <c r="A252" s="113">
        <v>46128.0</v>
      </c>
      <c r="B252" s="114" t="s">
        <v>745</v>
      </c>
      <c r="C252" s="115">
        <v>2.0</v>
      </c>
      <c r="D252" s="114" t="s">
        <v>755</v>
      </c>
      <c r="E252" s="115" t="s">
        <v>488</v>
      </c>
      <c r="F252" s="145">
        <v>7000.0</v>
      </c>
      <c r="G252" s="124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</row>
    <row r="253">
      <c r="A253" s="113">
        <v>46128.0</v>
      </c>
      <c r="B253" s="114" t="s">
        <v>756</v>
      </c>
      <c r="C253" s="115">
        <v>2.0</v>
      </c>
      <c r="D253" s="114" t="s">
        <v>757</v>
      </c>
      <c r="E253" s="115" t="s">
        <v>485</v>
      </c>
      <c r="F253" s="145">
        <v>16000.0</v>
      </c>
      <c r="G253" s="124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</row>
    <row r="254">
      <c r="A254" s="113">
        <v>46128.0</v>
      </c>
      <c r="B254" s="114" t="s">
        <v>745</v>
      </c>
      <c r="C254" s="115">
        <v>1.0</v>
      </c>
      <c r="D254" s="114" t="s">
        <v>726</v>
      </c>
      <c r="E254" s="115" t="s">
        <v>485</v>
      </c>
      <c r="F254" s="145">
        <v>3500.0</v>
      </c>
      <c r="G254" s="124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</row>
    <row r="255">
      <c r="A255" s="113">
        <v>46128.0</v>
      </c>
      <c r="B255" s="114" t="s">
        <v>758</v>
      </c>
      <c r="C255" s="115">
        <v>9.0</v>
      </c>
      <c r="D255" s="114" t="s">
        <v>759</v>
      </c>
      <c r="E255" s="115" t="s">
        <v>485</v>
      </c>
      <c r="F255" s="145">
        <f>8500*8+25000</f>
        <v>93000</v>
      </c>
      <c r="G255" s="124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</row>
    <row r="256">
      <c r="A256" s="113">
        <v>46129.0</v>
      </c>
      <c r="B256" s="114" t="s">
        <v>760</v>
      </c>
      <c r="C256" s="115">
        <v>1.0</v>
      </c>
      <c r="D256" s="114" t="s">
        <v>761</v>
      </c>
      <c r="E256" s="115" t="s">
        <v>485</v>
      </c>
      <c r="F256" s="145">
        <v>22500.0</v>
      </c>
      <c r="G256" s="124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</row>
    <row r="257">
      <c r="A257" s="113">
        <v>46129.0</v>
      </c>
      <c r="B257" s="114" t="s">
        <v>762</v>
      </c>
      <c r="C257" s="115">
        <v>10.0</v>
      </c>
      <c r="D257" s="114" t="s">
        <v>56</v>
      </c>
      <c r="E257" s="115" t="s">
        <v>488</v>
      </c>
      <c r="F257" s="145">
        <f>1200*C257</f>
        <v>12000</v>
      </c>
      <c r="G257" s="124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</row>
    <row r="258">
      <c r="A258" s="113">
        <v>46129.0</v>
      </c>
      <c r="B258" s="114" t="s">
        <v>745</v>
      </c>
      <c r="C258" s="115">
        <v>1.0</v>
      </c>
      <c r="D258" s="114" t="s">
        <v>763</v>
      </c>
      <c r="E258" s="115" t="s">
        <v>485</v>
      </c>
      <c r="F258" s="145">
        <v>3000.0</v>
      </c>
      <c r="G258" s="124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</row>
    <row r="259">
      <c r="A259" s="113">
        <v>46129.0</v>
      </c>
      <c r="B259" s="114" t="s">
        <v>509</v>
      </c>
      <c r="C259" s="115">
        <v>1.0</v>
      </c>
      <c r="D259" s="114" t="s">
        <v>598</v>
      </c>
      <c r="E259" s="115" t="s">
        <v>488</v>
      </c>
      <c r="F259" s="145">
        <v>9500.0</v>
      </c>
      <c r="G259" s="124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</row>
    <row r="260">
      <c r="A260" s="113">
        <v>46129.0</v>
      </c>
      <c r="B260" s="114" t="s">
        <v>745</v>
      </c>
      <c r="C260" s="115">
        <v>2.0</v>
      </c>
      <c r="D260" s="114" t="s">
        <v>241</v>
      </c>
      <c r="E260" s="115" t="s">
        <v>485</v>
      </c>
      <c r="F260" s="145">
        <f>4000*C260</f>
        <v>8000</v>
      </c>
      <c r="G260" s="124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</row>
    <row r="261">
      <c r="A261" s="113">
        <v>46130.0</v>
      </c>
      <c r="B261" s="114" t="s">
        <v>698</v>
      </c>
      <c r="C261" s="115">
        <v>1.0</v>
      </c>
      <c r="D261" s="114" t="s">
        <v>241</v>
      </c>
      <c r="E261" s="115" t="s">
        <v>485</v>
      </c>
      <c r="F261" s="145">
        <v>15500.0</v>
      </c>
      <c r="G261" s="124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</row>
    <row r="262">
      <c r="A262" s="113">
        <v>46130.0</v>
      </c>
      <c r="B262" s="114" t="s">
        <v>764</v>
      </c>
      <c r="C262" s="115">
        <v>1.0</v>
      </c>
      <c r="D262" s="114" t="s">
        <v>765</v>
      </c>
      <c r="E262" s="115" t="s">
        <v>485</v>
      </c>
      <c r="F262" s="145">
        <v>24000.0</v>
      </c>
      <c r="G262" s="124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</row>
    <row r="263">
      <c r="A263" s="113">
        <v>46131.0</v>
      </c>
      <c r="B263" s="114" t="s">
        <v>640</v>
      </c>
      <c r="C263" s="115">
        <v>4.0</v>
      </c>
      <c r="D263" s="114" t="s">
        <v>721</v>
      </c>
      <c r="E263" s="115" t="s">
        <v>485</v>
      </c>
      <c r="F263" s="145">
        <f>12000*C263</f>
        <v>48000</v>
      </c>
      <c r="G263" s="124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</row>
    <row r="264">
      <c r="A264" s="113">
        <v>46131.0</v>
      </c>
      <c r="B264" s="114" t="s">
        <v>740</v>
      </c>
      <c r="C264" s="115">
        <v>1.0</v>
      </c>
      <c r="D264" s="114" t="s">
        <v>241</v>
      </c>
      <c r="E264" s="115" t="s">
        <v>485</v>
      </c>
      <c r="F264" s="145">
        <v>4000.0</v>
      </c>
      <c r="G264" s="124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</row>
    <row r="265">
      <c r="A265" s="113">
        <v>46131.0</v>
      </c>
      <c r="B265" s="114" t="s">
        <v>766</v>
      </c>
      <c r="C265" s="115">
        <v>1.0</v>
      </c>
      <c r="D265" s="114" t="s">
        <v>767</v>
      </c>
      <c r="E265" s="115" t="s">
        <v>485</v>
      </c>
      <c r="F265" s="145">
        <v>22500.0</v>
      </c>
      <c r="G265" s="124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</row>
    <row r="266">
      <c r="A266" s="113">
        <v>46132.0</v>
      </c>
      <c r="B266" s="114" t="s">
        <v>768</v>
      </c>
      <c r="C266" s="115">
        <v>1.0</v>
      </c>
      <c r="D266" s="114" t="s">
        <v>769</v>
      </c>
      <c r="E266" s="115" t="s">
        <v>488</v>
      </c>
      <c r="F266" s="145">
        <v>40000.0</v>
      </c>
      <c r="G266" s="124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</row>
    <row r="267">
      <c r="A267" s="113">
        <v>46132.0</v>
      </c>
      <c r="B267" s="114" t="s">
        <v>770</v>
      </c>
      <c r="C267" s="115">
        <v>2.0</v>
      </c>
      <c r="D267" s="114" t="s">
        <v>771</v>
      </c>
      <c r="E267" s="115" t="s">
        <v>485</v>
      </c>
      <c r="F267" s="145">
        <f>25000*2</f>
        <v>50000</v>
      </c>
      <c r="G267" s="124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</row>
    <row r="268">
      <c r="A268" s="113">
        <v>46133.0</v>
      </c>
      <c r="B268" s="114" t="s">
        <v>772</v>
      </c>
      <c r="C268" s="115">
        <v>2.0</v>
      </c>
      <c r="D268" s="114" t="s">
        <v>590</v>
      </c>
      <c r="E268" s="115" t="s">
        <v>485</v>
      </c>
      <c r="F268" s="145">
        <v>30000.0</v>
      </c>
      <c r="G268" s="124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</row>
    <row r="269">
      <c r="A269" s="113">
        <v>46133.0</v>
      </c>
      <c r="B269" s="114" t="s">
        <v>773</v>
      </c>
      <c r="C269" s="115">
        <v>20.0</v>
      </c>
      <c r="D269" s="114" t="s">
        <v>774</v>
      </c>
      <c r="E269" s="115" t="s">
        <v>488</v>
      </c>
      <c r="F269" s="145">
        <f>3500*20</f>
        <v>70000</v>
      </c>
      <c r="G269" s="124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</row>
    <row r="270">
      <c r="A270" s="113">
        <v>46134.0</v>
      </c>
      <c r="B270" s="114" t="s">
        <v>775</v>
      </c>
      <c r="C270" s="115">
        <v>40.0</v>
      </c>
      <c r="D270" s="114" t="s">
        <v>667</v>
      </c>
      <c r="E270" s="115" t="s">
        <v>488</v>
      </c>
      <c r="F270" s="145">
        <f>2500*40</f>
        <v>100000</v>
      </c>
      <c r="G270" s="124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</row>
    <row r="271">
      <c r="A271" s="113">
        <v>46134.0</v>
      </c>
      <c r="B271" s="114" t="s">
        <v>776</v>
      </c>
      <c r="C271" s="115">
        <v>3.0</v>
      </c>
      <c r="D271" s="114" t="s">
        <v>765</v>
      </c>
      <c r="E271" s="115" t="s">
        <v>485</v>
      </c>
      <c r="F271" s="145">
        <f>19000+23500+23500</f>
        <v>66000</v>
      </c>
      <c r="G271" s="124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</row>
    <row r="272">
      <c r="A272" s="113">
        <v>46134.0</v>
      </c>
      <c r="B272" s="114" t="s">
        <v>777</v>
      </c>
      <c r="C272" s="115">
        <v>2.0</v>
      </c>
      <c r="D272" s="114" t="s">
        <v>725</v>
      </c>
      <c r="E272" s="115" t="s">
        <v>485</v>
      </c>
      <c r="F272" s="145">
        <f>19000+23500</f>
        <v>42500</v>
      </c>
      <c r="G272" s="124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</row>
    <row r="273">
      <c r="A273" s="113">
        <v>46134.0</v>
      </c>
      <c r="B273" s="114" t="s">
        <v>778</v>
      </c>
      <c r="C273" s="115">
        <v>6.0</v>
      </c>
      <c r="D273" s="114" t="s">
        <v>779</v>
      </c>
      <c r="E273" s="115" t="s">
        <v>488</v>
      </c>
      <c r="F273" s="145">
        <v>137700.0</v>
      </c>
      <c r="G273" s="125" t="s">
        <v>653</v>
      </c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</row>
    <row r="274">
      <c r="A274" s="113">
        <v>46135.0</v>
      </c>
      <c r="B274" s="114" t="s">
        <v>780</v>
      </c>
      <c r="C274" s="115">
        <v>12.0</v>
      </c>
      <c r="D274" s="114" t="s">
        <v>781</v>
      </c>
      <c r="E274" s="115" t="s">
        <v>485</v>
      </c>
      <c r="F274" s="145">
        <f>1500*C274</f>
        <v>18000</v>
      </c>
      <c r="G274" s="124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</row>
    <row r="275">
      <c r="A275" s="113">
        <v>46135.0</v>
      </c>
      <c r="B275" s="114" t="s">
        <v>766</v>
      </c>
      <c r="C275" s="115">
        <v>2.0</v>
      </c>
      <c r="D275" s="114" t="s">
        <v>763</v>
      </c>
      <c r="E275" s="115" t="s">
        <v>485</v>
      </c>
      <c r="F275" s="145">
        <f>18000*2</f>
        <v>36000</v>
      </c>
      <c r="G275" s="124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</row>
    <row r="276">
      <c r="A276" s="113">
        <v>46136.0</v>
      </c>
      <c r="B276" s="114" t="s">
        <v>782</v>
      </c>
      <c r="C276" s="115">
        <v>1.0</v>
      </c>
      <c r="D276" s="114" t="s">
        <v>779</v>
      </c>
      <c r="E276" s="115" t="s">
        <v>485</v>
      </c>
      <c r="F276" s="145">
        <v>18000.0</v>
      </c>
      <c r="G276" s="124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</row>
    <row r="277">
      <c r="A277" s="113">
        <v>46136.0</v>
      </c>
      <c r="B277" s="114" t="s">
        <v>783</v>
      </c>
      <c r="C277" s="115">
        <v>2.0</v>
      </c>
      <c r="D277" s="114" t="s">
        <v>784</v>
      </c>
      <c r="E277" s="115" t="s">
        <v>485</v>
      </c>
      <c r="F277" s="145">
        <f>19000*2</f>
        <v>38000</v>
      </c>
      <c r="G277" s="124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</row>
    <row r="278">
      <c r="A278" s="113">
        <v>46137.0</v>
      </c>
      <c r="B278" s="114" t="s">
        <v>785</v>
      </c>
      <c r="C278" s="115">
        <v>1.0</v>
      </c>
      <c r="D278" s="114" t="s">
        <v>786</v>
      </c>
      <c r="E278" s="115" t="s">
        <v>488</v>
      </c>
      <c r="F278" s="145">
        <v>16000.0</v>
      </c>
      <c r="G278" s="124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</row>
    <row r="279">
      <c r="A279" s="113">
        <v>46137.0</v>
      </c>
      <c r="B279" s="114" t="s">
        <v>787</v>
      </c>
      <c r="C279" s="115">
        <v>3.0</v>
      </c>
      <c r="D279" s="114" t="s">
        <v>788</v>
      </c>
      <c r="E279" s="115" t="s">
        <v>485</v>
      </c>
      <c r="F279" s="145">
        <f>18000*3</f>
        <v>54000</v>
      </c>
      <c r="G279" s="124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</row>
    <row r="280">
      <c r="A280" s="113">
        <v>46137.0</v>
      </c>
      <c r="B280" s="114" t="s">
        <v>789</v>
      </c>
      <c r="C280" s="115">
        <v>1.0</v>
      </c>
      <c r="D280" s="114" t="s">
        <v>779</v>
      </c>
      <c r="E280" s="115" t="s">
        <v>485</v>
      </c>
      <c r="F280" s="145">
        <v>22950.0</v>
      </c>
      <c r="G280" s="124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</row>
    <row r="281">
      <c r="A281" s="113">
        <v>46137.0</v>
      </c>
      <c r="B281" s="114" t="s">
        <v>790</v>
      </c>
      <c r="C281" s="115">
        <v>1.0</v>
      </c>
      <c r="D281" s="114" t="s">
        <v>791</v>
      </c>
      <c r="E281" s="115" t="s">
        <v>485</v>
      </c>
      <c r="F281" s="145">
        <v>16000.0</v>
      </c>
      <c r="G281" s="124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</row>
    <row r="282">
      <c r="A282" s="113">
        <v>46139.0</v>
      </c>
      <c r="B282" s="114" t="s">
        <v>792</v>
      </c>
      <c r="C282" s="115">
        <v>1.0</v>
      </c>
      <c r="D282" s="114" t="s">
        <v>101</v>
      </c>
      <c r="E282" s="115" t="s">
        <v>488</v>
      </c>
      <c r="F282" s="145">
        <v>17000.0</v>
      </c>
      <c r="G282" s="124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</row>
    <row r="283">
      <c r="A283" s="113">
        <v>46139.0</v>
      </c>
      <c r="B283" s="114" t="s">
        <v>740</v>
      </c>
      <c r="C283" s="115">
        <v>1.0</v>
      </c>
      <c r="D283" s="114" t="s">
        <v>241</v>
      </c>
      <c r="E283" s="115" t="s">
        <v>485</v>
      </c>
      <c r="F283" s="145">
        <v>4000.0</v>
      </c>
      <c r="G283" s="124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</row>
    <row r="284">
      <c r="A284" s="113">
        <v>46140.0</v>
      </c>
      <c r="B284" s="114" t="s">
        <v>793</v>
      </c>
      <c r="C284" s="115">
        <v>20.0</v>
      </c>
      <c r="D284" s="114" t="s">
        <v>794</v>
      </c>
      <c r="E284" s="115" t="s">
        <v>488</v>
      </c>
      <c r="F284" s="145">
        <f>85000*2</f>
        <v>170000</v>
      </c>
      <c r="G284" s="125" t="s">
        <v>795</v>
      </c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</row>
    <row r="285">
      <c r="A285" s="113">
        <v>46140.0</v>
      </c>
      <c r="B285" s="114" t="s">
        <v>796</v>
      </c>
      <c r="C285" s="115">
        <v>1.0</v>
      </c>
      <c r="D285" s="114" t="s">
        <v>797</v>
      </c>
      <c r="E285" s="115" t="s">
        <v>488</v>
      </c>
      <c r="F285" s="145">
        <v>15500.0</v>
      </c>
      <c r="G285" s="124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</row>
    <row r="286">
      <c r="A286" s="113">
        <v>46141.0</v>
      </c>
      <c r="B286" s="114" t="s">
        <v>798</v>
      </c>
      <c r="C286" s="115">
        <v>5.0</v>
      </c>
      <c r="D286" s="114" t="s">
        <v>799</v>
      </c>
      <c r="E286" s="115" t="s">
        <v>485</v>
      </c>
      <c r="F286" s="145">
        <v>49000.0</v>
      </c>
      <c r="G286" s="124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</row>
    <row r="287">
      <c r="A287" s="113">
        <v>46142.0</v>
      </c>
      <c r="B287" s="114" t="s">
        <v>800</v>
      </c>
      <c r="C287" s="115">
        <v>2.0</v>
      </c>
      <c r="D287" s="114" t="s">
        <v>801</v>
      </c>
      <c r="E287" s="115" t="s">
        <v>485</v>
      </c>
      <c r="F287" s="145">
        <f>22500*C287</f>
        <v>45000</v>
      </c>
      <c r="G287" s="124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</row>
    <row r="288">
      <c r="A288" s="113">
        <v>46142.0</v>
      </c>
      <c r="B288" s="114" t="s">
        <v>802</v>
      </c>
      <c r="C288" s="115">
        <v>1.0</v>
      </c>
      <c r="D288" s="114" t="s">
        <v>734</v>
      </c>
      <c r="E288" s="115" t="s">
        <v>485</v>
      </c>
      <c r="F288" s="145">
        <v>19000.0</v>
      </c>
      <c r="G288" s="124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</row>
    <row r="289">
      <c r="A289" s="113">
        <v>46142.0</v>
      </c>
      <c r="B289" s="114" t="s">
        <v>803</v>
      </c>
      <c r="C289" s="115">
        <v>1.0</v>
      </c>
      <c r="D289" s="114" t="s">
        <v>249</v>
      </c>
      <c r="E289" s="115" t="s">
        <v>485</v>
      </c>
      <c r="F289" s="145">
        <v>18000.0</v>
      </c>
      <c r="G289" s="124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</row>
    <row r="290">
      <c r="A290" s="147" t="s">
        <v>573</v>
      </c>
      <c r="B290" s="133"/>
      <c r="C290" s="133"/>
      <c r="D290" s="133"/>
      <c r="E290" s="134"/>
      <c r="F290" s="148">
        <f>SUM(F218:F289)</f>
        <v>2666550</v>
      </c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2"/>
    </row>
    <row r="291">
      <c r="A291" s="149"/>
      <c r="B291" s="149"/>
      <c r="C291" s="149"/>
      <c r="D291" s="149"/>
      <c r="E291" s="149"/>
      <c r="F291" s="149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</row>
    <row r="292">
      <c r="A292" s="149"/>
      <c r="B292" s="149"/>
      <c r="C292" s="149"/>
      <c r="D292" s="149"/>
      <c r="E292" s="149"/>
      <c r="F292" s="149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</row>
    <row r="293">
      <c r="A293" s="102" t="s">
        <v>804</v>
      </c>
      <c r="B293" s="103"/>
      <c r="C293" s="103"/>
      <c r="D293" s="103"/>
      <c r="E293" s="103"/>
      <c r="F293" s="104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</row>
    <row r="294">
      <c r="A294" s="137" t="s">
        <v>478</v>
      </c>
      <c r="B294" s="138" t="s">
        <v>2</v>
      </c>
      <c r="C294" s="139" t="s">
        <v>479</v>
      </c>
      <c r="D294" s="139" t="s">
        <v>1</v>
      </c>
      <c r="E294" s="138" t="s">
        <v>480</v>
      </c>
      <c r="F294" s="140" t="s">
        <v>481</v>
      </c>
      <c r="G294" s="141" t="s">
        <v>482</v>
      </c>
      <c r="H294" s="142"/>
      <c r="I294" s="142"/>
      <c r="J294" s="142"/>
      <c r="K294" s="143"/>
      <c r="L294" s="144"/>
      <c r="M294" s="144"/>
      <c r="N294" s="144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</row>
    <row r="295">
      <c r="A295" s="113">
        <v>46083.0</v>
      </c>
      <c r="B295" s="119" t="s">
        <v>805</v>
      </c>
      <c r="C295" s="115">
        <v>2.0</v>
      </c>
      <c r="D295" s="114" t="s">
        <v>806</v>
      </c>
      <c r="E295" s="115" t="s">
        <v>485</v>
      </c>
      <c r="F295" s="150">
        <f>27000*2</f>
        <v>54000</v>
      </c>
      <c r="G295" s="151"/>
      <c r="H295" s="105"/>
      <c r="I295" s="105"/>
      <c r="J295" s="105"/>
      <c r="K295" s="152"/>
      <c r="L295" s="153"/>
      <c r="M295" s="153"/>
      <c r="N295" s="153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</row>
    <row r="296">
      <c r="A296" s="154">
        <v>46084.0</v>
      </c>
      <c r="B296" s="119" t="s">
        <v>807</v>
      </c>
      <c r="C296" s="118">
        <v>1.0</v>
      </c>
      <c r="D296" s="119" t="s">
        <v>241</v>
      </c>
      <c r="E296" s="118" t="s">
        <v>485</v>
      </c>
      <c r="F296" s="155">
        <v>27000.0</v>
      </c>
      <c r="G296" s="156"/>
      <c r="H296" s="105"/>
      <c r="I296" s="105"/>
      <c r="J296" s="105"/>
      <c r="K296" s="157"/>
      <c r="L296" s="112"/>
      <c r="M296" s="112"/>
      <c r="N296" s="112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</row>
    <row r="297">
      <c r="A297" s="113">
        <v>46086.0</v>
      </c>
      <c r="B297" s="119" t="s">
        <v>808</v>
      </c>
      <c r="C297" s="118">
        <v>1.0</v>
      </c>
      <c r="D297" s="119" t="s">
        <v>809</v>
      </c>
      <c r="E297" s="118" t="s">
        <v>488</v>
      </c>
      <c r="F297" s="155">
        <v>27000.0</v>
      </c>
      <c r="G297" s="156"/>
      <c r="H297" s="105"/>
      <c r="I297" s="105"/>
      <c r="J297" s="105"/>
      <c r="K297" s="157"/>
      <c r="L297" s="112"/>
      <c r="M297" s="112"/>
      <c r="N297" s="112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</row>
    <row r="298">
      <c r="A298" s="113">
        <v>46087.0</v>
      </c>
      <c r="B298" s="119" t="s">
        <v>810</v>
      </c>
      <c r="C298" s="118">
        <v>1.0</v>
      </c>
      <c r="D298" s="119" t="s">
        <v>811</v>
      </c>
      <c r="E298" s="118" t="s">
        <v>485</v>
      </c>
      <c r="F298" s="155">
        <v>27000.0</v>
      </c>
      <c r="G298" s="158" t="s">
        <v>812</v>
      </c>
      <c r="H298" s="105"/>
      <c r="I298" s="105"/>
      <c r="J298" s="105"/>
      <c r="K298" s="157"/>
      <c r="L298" s="112"/>
      <c r="M298" s="112"/>
      <c r="N298" s="112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</row>
    <row r="299">
      <c r="A299" s="113">
        <v>46088.0</v>
      </c>
      <c r="B299" s="114" t="s">
        <v>813</v>
      </c>
      <c r="C299" s="115">
        <v>5.0</v>
      </c>
      <c r="D299" s="114" t="s">
        <v>779</v>
      </c>
      <c r="E299" s="115" t="s">
        <v>485</v>
      </c>
      <c r="F299" s="159">
        <f>27000*5</f>
        <v>135000</v>
      </c>
      <c r="G299" s="151"/>
      <c r="H299" s="105"/>
      <c r="I299" s="105"/>
      <c r="J299" s="105"/>
      <c r="K299" s="152"/>
      <c r="L299" s="153"/>
      <c r="M299" s="153"/>
      <c r="N299" s="153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</row>
    <row r="300">
      <c r="A300" s="113">
        <v>46088.0</v>
      </c>
      <c r="B300" s="119" t="s">
        <v>814</v>
      </c>
      <c r="C300" s="118">
        <v>1.0</v>
      </c>
      <c r="D300" s="114" t="s">
        <v>779</v>
      </c>
      <c r="E300" s="118" t="s">
        <v>485</v>
      </c>
      <c r="F300" s="155">
        <v>500.0</v>
      </c>
      <c r="G300" s="156"/>
      <c r="H300" s="105"/>
      <c r="I300" s="105"/>
      <c r="J300" s="105"/>
      <c r="K300" s="157"/>
      <c r="L300" s="112"/>
      <c r="M300" s="112"/>
      <c r="N300" s="112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</row>
    <row r="301">
      <c r="A301" s="113">
        <v>46093.0</v>
      </c>
      <c r="B301" s="160" t="s">
        <v>815</v>
      </c>
      <c r="C301" s="161">
        <v>10.0</v>
      </c>
      <c r="D301" s="160" t="s">
        <v>816</v>
      </c>
      <c r="E301" s="161" t="s">
        <v>488</v>
      </c>
      <c r="F301" s="159">
        <v>140000.0</v>
      </c>
      <c r="G301" s="146" t="s">
        <v>817</v>
      </c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</row>
    <row r="302">
      <c r="A302" s="113">
        <v>46093.0</v>
      </c>
      <c r="B302" s="160" t="s">
        <v>818</v>
      </c>
      <c r="C302" s="161">
        <v>1.0</v>
      </c>
      <c r="D302" s="160" t="s">
        <v>819</v>
      </c>
      <c r="E302" s="161" t="s">
        <v>488</v>
      </c>
      <c r="F302" s="155">
        <v>9500.0</v>
      </c>
      <c r="G302" s="162"/>
      <c r="H302" s="105"/>
      <c r="I302" s="105"/>
      <c r="J302" s="105"/>
      <c r="K302" s="157"/>
      <c r="L302" s="153"/>
      <c r="M302" s="153"/>
      <c r="N302" s="153"/>
      <c r="O302" s="163"/>
      <c r="P302" s="164"/>
      <c r="Q302" s="164"/>
      <c r="R302" s="164"/>
      <c r="S302" s="105"/>
      <c r="T302" s="105"/>
      <c r="U302" s="105"/>
      <c r="V302" s="105"/>
      <c r="W302" s="105"/>
      <c r="X302" s="105"/>
      <c r="Y302" s="105"/>
      <c r="Z302" s="105"/>
      <c r="AA302" s="105"/>
    </row>
    <row r="303">
      <c r="A303" s="113">
        <v>46094.0</v>
      </c>
      <c r="B303" s="160" t="s">
        <v>820</v>
      </c>
      <c r="C303" s="161">
        <v>1.0</v>
      </c>
      <c r="D303" s="160" t="s">
        <v>801</v>
      </c>
      <c r="E303" s="161" t="s">
        <v>485</v>
      </c>
      <c r="F303" s="155">
        <v>22500.0</v>
      </c>
      <c r="G303" s="162"/>
      <c r="H303" s="105"/>
      <c r="I303" s="105"/>
      <c r="J303" s="105"/>
      <c r="K303" s="112"/>
      <c r="L303" s="112"/>
      <c r="M303" s="112"/>
      <c r="N303" s="112"/>
      <c r="O303" s="165"/>
      <c r="P303" s="166"/>
      <c r="Q303" s="166"/>
      <c r="R303" s="166"/>
      <c r="S303" s="105"/>
      <c r="T303" s="105"/>
      <c r="U303" s="105"/>
      <c r="V303" s="105"/>
      <c r="W303" s="105"/>
      <c r="X303" s="105"/>
      <c r="Y303" s="105"/>
      <c r="Z303" s="105"/>
      <c r="AA303" s="105"/>
    </row>
    <row r="304">
      <c r="A304" s="113">
        <v>46094.0</v>
      </c>
      <c r="B304" s="160" t="s">
        <v>821</v>
      </c>
      <c r="C304" s="161">
        <v>3.0</v>
      </c>
      <c r="D304" s="160" t="s">
        <v>822</v>
      </c>
      <c r="E304" s="161" t="s">
        <v>485</v>
      </c>
      <c r="F304" s="167">
        <v>19500.0</v>
      </c>
      <c r="G304" s="168"/>
      <c r="H304" s="105"/>
      <c r="I304" s="105"/>
      <c r="J304" s="105"/>
      <c r="K304" s="169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</row>
    <row r="305">
      <c r="A305" s="113">
        <v>46094.0</v>
      </c>
      <c r="B305" s="160" t="s">
        <v>823</v>
      </c>
      <c r="C305" s="161">
        <v>1.0</v>
      </c>
      <c r="D305" s="160" t="s">
        <v>824</v>
      </c>
      <c r="E305" s="161" t="s">
        <v>485</v>
      </c>
      <c r="F305" s="170">
        <v>25000.0</v>
      </c>
      <c r="G305" s="171"/>
      <c r="H305" s="105"/>
      <c r="I305" s="105"/>
      <c r="J305" s="105"/>
      <c r="K305" s="172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</row>
    <row r="306">
      <c r="A306" s="113">
        <v>46094.0</v>
      </c>
      <c r="B306" s="160" t="s">
        <v>825</v>
      </c>
      <c r="C306" s="161">
        <v>1.0</v>
      </c>
      <c r="D306" s="160" t="s">
        <v>588</v>
      </c>
      <c r="E306" s="161" t="s">
        <v>485</v>
      </c>
      <c r="F306" s="167">
        <v>9500.0</v>
      </c>
      <c r="G306" s="173"/>
      <c r="H306" s="105"/>
      <c r="I306" s="105"/>
      <c r="J306" s="105"/>
      <c r="K306" s="169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</row>
    <row r="307">
      <c r="A307" s="113">
        <v>46098.0</v>
      </c>
      <c r="B307" s="119" t="s">
        <v>640</v>
      </c>
      <c r="C307" s="161">
        <v>14.0</v>
      </c>
      <c r="D307" s="160" t="s">
        <v>826</v>
      </c>
      <c r="E307" s="161" t="s">
        <v>485</v>
      </c>
      <c r="F307" s="174">
        <v>160000.0</v>
      </c>
      <c r="G307" s="17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</row>
    <row r="308">
      <c r="A308" s="113">
        <v>46098.0</v>
      </c>
      <c r="B308" s="119" t="s">
        <v>511</v>
      </c>
      <c r="C308" s="161">
        <v>1.0</v>
      </c>
      <c r="D308" s="160" t="s">
        <v>827</v>
      </c>
      <c r="E308" s="161" t="s">
        <v>485</v>
      </c>
      <c r="F308" s="174">
        <v>32000.0</v>
      </c>
      <c r="G308" s="17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</row>
    <row r="309">
      <c r="A309" s="113">
        <v>46098.0</v>
      </c>
      <c r="B309" s="119" t="s">
        <v>511</v>
      </c>
      <c r="C309" s="161">
        <v>1.0</v>
      </c>
      <c r="D309" s="160" t="s">
        <v>822</v>
      </c>
      <c r="E309" s="161" t="s">
        <v>485</v>
      </c>
      <c r="F309" s="174">
        <v>32000.0</v>
      </c>
      <c r="G309" s="17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</row>
    <row r="310">
      <c r="A310" s="113">
        <v>46099.0</v>
      </c>
      <c r="B310" s="119" t="s">
        <v>810</v>
      </c>
      <c r="C310" s="161">
        <v>1.0</v>
      </c>
      <c r="D310" s="160" t="s">
        <v>828</v>
      </c>
      <c r="E310" s="161" t="s">
        <v>488</v>
      </c>
      <c r="F310" s="174">
        <v>27000.0</v>
      </c>
      <c r="G310" s="17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</row>
    <row r="311">
      <c r="A311" s="113">
        <v>46099.0</v>
      </c>
      <c r="B311" s="119" t="s">
        <v>829</v>
      </c>
      <c r="C311" s="161">
        <v>1.0</v>
      </c>
      <c r="D311" s="160" t="s">
        <v>746</v>
      </c>
      <c r="E311" s="161" t="s">
        <v>488</v>
      </c>
      <c r="F311" s="174">
        <v>27000.0</v>
      </c>
      <c r="G311" s="17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</row>
    <row r="312">
      <c r="A312" s="113">
        <v>46099.0</v>
      </c>
      <c r="B312" s="119" t="s">
        <v>830</v>
      </c>
      <c r="C312" s="161">
        <v>4.0</v>
      </c>
      <c r="D312" s="160" t="s">
        <v>831</v>
      </c>
      <c r="E312" s="161" t="s">
        <v>485</v>
      </c>
      <c r="F312" s="174">
        <v>72000.0</v>
      </c>
      <c r="G312" s="17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</row>
    <row r="313">
      <c r="A313" s="113">
        <v>46100.0</v>
      </c>
      <c r="B313" s="176" t="s">
        <v>832</v>
      </c>
      <c r="C313" s="177">
        <v>1.0</v>
      </c>
      <c r="D313" s="119" t="s">
        <v>833</v>
      </c>
      <c r="E313" s="118" t="s">
        <v>485</v>
      </c>
      <c r="F313" s="145">
        <v>9500.0</v>
      </c>
      <c r="G313" s="178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</row>
    <row r="314">
      <c r="A314" s="113">
        <v>46100.0</v>
      </c>
      <c r="B314" s="179" t="s">
        <v>834</v>
      </c>
      <c r="C314" s="180">
        <v>1.0</v>
      </c>
      <c r="D314" s="114" t="s">
        <v>835</v>
      </c>
      <c r="E314" s="115" t="s">
        <v>485</v>
      </c>
      <c r="F314" s="145">
        <v>14000.0</v>
      </c>
      <c r="G314" s="181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</row>
    <row r="315">
      <c r="A315" s="113">
        <v>46100.0</v>
      </c>
      <c r="B315" s="114" t="s">
        <v>836</v>
      </c>
      <c r="C315" s="177">
        <v>4.0</v>
      </c>
      <c r="D315" s="119" t="s">
        <v>779</v>
      </c>
      <c r="E315" s="118" t="s">
        <v>485</v>
      </c>
      <c r="F315" s="145">
        <v>82025.0</v>
      </c>
      <c r="G315" s="182" t="s">
        <v>837</v>
      </c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</row>
    <row r="316">
      <c r="A316" s="113">
        <v>46100.0</v>
      </c>
      <c r="B316" s="114" t="s">
        <v>664</v>
      </c>
      <c r="C316" s="177">
        <v>1.0</v>
      </c>
      <c r="D316" s="119" t="s">
        <v>838</v>
      </c>
      <c r="E316" s="118" t="s">
        <v>485</v>
      </c>
      <c r="F316" s="145">
        <v>21000.0</v>
      </c>
      <c r="G316" s="121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</row>
    <row r="317">
      <c r="A317" s="113">
        <v>46101.0</v>
      </c>
      <c r="B317" s="119" t="s">
        <v>839</v>
      </c>
      <c r="C317" s="177">
        <v>1.0</v>
      </c>
      <c r="D317" s="119" t="s">
        <v>840</v>
      </c>
      <c r="E317" s="118" t="s">
        <v>485</v>
      </c>
      <c r="F317" s="145">
        <v>13000.0</v>
      </c>
      <c r="G317" s="121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</row>
    <row r="318">
      <c r="A318" s="113">
        <v>46101.0</v>
      </c>
      <c r="B318" s="114" t="s">
        <v>841</v>
      </c>
      <c r="C318" s="180">
        <v>1.0</v>
      </c>
      <c r="D318" s="114" t="s">
        <v>842</v>
      </c>
      <c r="E318" s="115" t="s">
        <v>485</v>
      </c>
      <c r="F318" s="145">
        <v>23000.0</v>
      </c>
      <c r="G318" s="117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</row>
    <row r="319">
      <c r="A319" s="113">
        <v>46101.0</v>
      </c>
      <c r="B319" s="119" t="s">
        <v>698</v>
      </c>
      <c r="C319" s="177">
        <v>1.0</v>
      </c>
      <c r="D319" s="119" t="s">
        <v>843</v>
      </c>
      <c r="E319" s="118" t="s">
        <v>485</v>
      </c>
      <c r="F319" s="145">
        <v>15500.0</v>
      </c>
      <c r="G319" s="121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</row>
    <row r="320">
      <c r="A320" s="113">
        <v>46102.0</v>
      </c>
      <c r="B320" s="114" t="s">
        <v>844</v>
      </c>
      <c r="C320" s="180">
        <v>1.0</v>
      </c>
      <c r="D320" s="114" t="s">
        <v>833</v>
      </c>
      <c r="E320" s="115" t="s">
        <v>485</v>
      </c>
      <c r="F320" s="145">
        <v>15500.0</v>
      </c>
      <c r="G320" s="117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</row>
    <row r="321">
      <c r="A321" s="113">
        <v>46104.0</v>
      </c>
      <c r="B321" s="114" t="s">
        <v>845</v>
      </c>
      <c r="C321" s="115">
        <v>8.0</v>
      </c>
      <c r="D321" s="114" t="s">
        <v>846</v>
      </c>
      <c r="E321" s="115" t="s">
        <v>485</v>
      </c>
      <c r="F321" s="145">
        <v>50000.0</v>
      </c>
      <c r="G321" s="117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</row>
    <row r="322">
      <c r="A322" s="113">
        <v>46104.0</v>
      </c>
      <c r="B322" s="119" t="s">
        <v>847</v>
      </c>
      <c r="C322" s="115">
        <v>1.0</v>
      </c>
      <c r="D322" s="114" t="s">
        <v>848</v>
      </c>
      <c r="E322" s="115" t="s">
        <v>485</v>
      </c>
      <c r="F322" s="145">
        <v>21000.0</v>
      </c>
      <c r="G322" s="117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</row>
    <row r="323">
      <c r="A323" s="113">
        <v>46109.0</v>
      </c>
      <c r="B323" s="119" t="s">
        <v>849</v>
      </c>
      <c r="C323" s="115">
        <v>15.0</v>
      </c>
      <c r="D323" s="114" t="s">
        <v>850</v>
      </c>
      <c r="E323" s="115" t="s">
        <v>485</v>
      </c>
      <c r="F323" s="145">
        <f>7500*15</f>
        <v>112500</v>
      </c>
      <c r="G323" s="117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</row>
    <row r="324">
      <c r="A324" s="113">
        <v>46109.0</v>
      </c>
      <c r="B324" s="119" t="s">
        <v>851</v>
      </c>
      <c r="C324" s="115">
        <v>1.0</v>
      </c>
      <c r="D324" s="114" t="s">
        <v>852</v>
      </c>
      <c r="E324" s="115" t="s">
        <v>485</v>
      </c>
      <c r="F324" s="145">
        <v>9500.0</v>
      </c>
      <c r="G324" s="117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</row>
    <row r="325">
      <c r="A325" s="113">
        <v>46111.0</v>
      </c>
      <c r="B325" s="119" t="s">
        <v>853</v>
      </c>
      <c r="C325" s="115">
        <v>1.0</v>
      </c>
      <c r="D325" s="114" t="s">
        <v>854</v>
      </c>
      <c r="E325" s="115" t="s">
        <v>488</v>
      </c>
      <c r="F325" s="145">
        <v>13000.0</v>
      </c>
      <c r="G325" s="117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</row>
    <row r="326">
      <c r="A326" s="113">
        <v>46112.0</v>
      </c>
      <c r="B326" s="119" t="s">
        <v>29</v>
      </c>
      <c r="C326" s="115">
        <v>1.0</v>
      </c>
      <c r="D326" s="114" t="s">
        <v>855</v>
      </c>
      <c r="E326" s="115" t="s">
        <v>485</v>
      </c>
      <c r="F326" s="145">
        <v>19500.0</v>
      </c>
      <c r="G326" s="117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</row>
    <row r="327">
      <c r="A327" s="113">
        <v>46112.0</v>
      </c>
      <c r="B327" s="119" t="s">
        <v>705</v>
      </c>
      <c r="C327" s="115">
        <v>1.0</v>
      </c>
      <c r="D327" s="114" t="s">
        <v>856</v>
      </c>
      <c r="E327" s="115" t="s">
        <v>485</v>
      </c>
      <c r="F327" s="145">
        <v>18700.0</v>
      </c>
      <c r="G327" s="117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</row>
    <row r="328">
      <c r="A328" s="113">
        <v>46112.0</v>
      </c>
      <c r="B328" s="119" t="s">
        <v>857</v>
      </c>
      <c r="C328" s="115">
        <v>1.0</v>
      </c>
      <c r="D328" s="114" t="s">
        <v>858</v>
      </c>
      <c r="E328" s="115" t="s">
        <v>488</v>
      </c>
      <c r="F328" s="145">
        <v>30000.0</v>
      </c>
      <c r="G328" s="117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</row>
    <row r="329">
      <c r="A329" s="147" t="s">
        <v>573</v>
      </c>
      <c r="B329" s="133"/>
      <c r="C329" s="133"/>
      <c r="D329" s="133"/>
      <c r="E329" s="134"/>
      <c r="F329" s="148">
        <f>SUM(F295:F328)</f>
        <v>1314225</v>
      </c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  <c r="AA329" s="142"/>
    </row>
    <row r="330">
      <c r="A330" s="136"/>
      <c r="B330" s="136"/>
      <c r="C330" s="136"/>
      <c r="D330" s="136"/>
      <c r="E330" s="136"/>
      <c r="F330" s="136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  <c r="AA330" s="183"/>
    </row>
    <row r="331">
      <c r="A331" s="102" t="s">
        <v>859</v>
      </c>
      <c r="B331" s="103"/>
      <c r="C331" s="103"/>
      <c r="D331" s="103"/>
      <c r="E331" s="103"/>
      <c r="F331" s="104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  <c r="AA331" s="183"/>
    </row>
    <row r="332" ht="21.0" customHeight="1">
      <c r="A332" s="184" t="s">
        <v>478</v>
      </c>
      <c r="B332" s="185" t="s">
        <v>2</v>
      </c>
      <c r="C332" s="186" t="s">
        <v>479</v>
      </c>
      <c r="D332" s="187" t="s">
        <v>1</v>
      </c>
      <c r="E332" s="185" t="s">
        <v>480</v>
      </c>
      <c r="F332" s="188" t="s">
        <v>481</v>
      </c>
      <c r="G332" s="189" t="s">
        <v>482</v>
      </c>
      <c r="H332" s="190"/>
      <c r="I332" s="190"/>
      <c r="J332" s="190"/>
      <c r="K332" s="191"/>
      <c r="L332" s="192"/>
      <c r="M332" s="192"/>
      <c r="N332" s="193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190"/>
    </row>
    <row r="333" ht="21.0" customHeight="1">
      <c r="A333" s="113">
        <v>46024.0</v>
      </c>
      <c r="B333" s="194" t="s">
        <v>860</v>
      </c>
      <c r="C333" s="195">
        <v>1.0</v>
      </c>
      <c r="D333" s="194" t="s">
        <v>861</v>
      </c>
      <c r="E333" s="196" t="s">
        <v>485</v>
      </c>
      <c r="F333" s="170">
        <v>19000.0</v>
      </c>
      <c r="G333" s="197" t="s">
        <v>862</v>
      </c>
      <c r="H333" s="198"/>
      <c r="I333" s="198"/>
      <c r="J333" s="198"/>
      <c r="K333" s="199"/>
      <c r="L333" s="200"/>
      <c r="M333" s="200"/>
      <c r="N333" s="201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</row>
    <row r="334" ht="21.0" customHeight="1">
      <c r="A334" s="113">
        <v>46027.0</v>
      </c>
      <c r="B334" s="194" t="s">
        <v>860</v>
      </c>
      <c r="C334" s="195">
        <v>1.0</v>
      </c>
      <c r="D334" s="194" t="s">
        <v>863</v>
      </c>
      <c r="E334" s="196" t="s">
        <v>485</v>
      </c>
      <c r="F334" s="170">
        <v>19000.0</v>
      </c>
      <c r="G334" s="197" t="s">
        <v>862</v>
      </c>
      <c r="H334" s="198"/>
      <c r="I334" s="198"/>
      <c r="J334" s="198"/>
      <c r="K334" s="199"/>
      <c r="L334" s="200"/>
      <c r="M334" s="200"/>
      <c r="N334" s="201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</row>
    <row r="335" ht="21.0" customHeight="1">
      <c r="A335" s="113">
        <v>46027.0</v>
      </c>
      <c r="B335" s="194" t="s">
        <v>860</v>
      </c>
      <c r="C335" s="195">
        <v>1.0</v>
      </c>
      <c r="D335" s="194" t="s">
        <v>864</v>
      </c>
      <c r="E335" s="196" t="s">
        <v>485</v>
      </c>
      <c r="F335" s="170">
        <v>19000.0</v>
      </c>
      <c r="G335" s="197" t="s">
        <v>862</v>
      </c>
      <c r="H335" s="198"/>
      <c r="I335" s="198"/>
      <c r="J335" s="198"/>
      <c r="K335" s="199"/>
      <c r="L335" s="200"/>
      <c r="M335" s="200"/>
      <c r="N335" s="201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</row>
    <row r="336" ht="21.0" customHeight="1">
      <c r="A336" s="113">
        <v>46027.0</v>
      </c>
      <c r="B336" s="194" t="s">
        <v>865</v>
      </c>
      <c r="C336" s="195">
        <v>2.0</v>
      </c>
      <c r="D336" s="194" t="s">
        <v>866</v>
      </c>
      <c r="E336" s="196" t="s">
        <v>485</v>
      </c>
      <c r="F336" s="170">
        <v>30000.0</v>
      </c>
      <c r="G336" s="197" t="s">
        <v>862</v>
      </c>
      <c r="H336" s="198"/>
      <c r="I336" s="198"/>
      <c r="J336" s="198"/>
      <c r="K336" s="199"/>
      <c r="L336" s="200"/>
      <c r="M336" s="200"/>
      <c r="N336" s="201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</row>
    <row r="337" ht="21.0" customHeight="1">
      <c r="A337" s="113">
        <v>46027.0</v>
      </c>
      <c r="B337" s="194" t="s">
        <v>860</v>
      </c>
      <c r="C337" s="195">
        <v>1.0</v>
      </c>
      <c r="D337" s="194" t="s">
        <v>867</v>
      </c>
      <c r="E337" s="196" t="s">
        <v>485</v>
      </c>
      <c r="F337" s="170">
        <v>18000.0</v>
      </c>
      <c r="G337" s="197" t="s">
        <v>862</v>
      </c>
      <c r="H337" s="198"/>
      <c r="I337" s="198"/>
      <c r="J337" s="198"/>
      <c r="K337" s="199"/>
      <c r="L337" s="200"/>
      <c r="M337" s="200"/>
      <c r="N337" s="201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</row>
    <row r="338" ht="21.0" customHeight="1">
      <c r="A338" s="113">
        <v>46027.0</v>
      </c>
      <c r="B338" s="194" t="s">
        <v>860</v>
      </c>
      <c r="C338" s="195">
        <v>1.0</v>
      </c>
      <c r="D338" s="194" t="s">
        <v>868</v>
      </c>
      <c r="E338" s="196" t="s">
        <v>485</v>
      </c>
      <c r="F338" s="170">
        <v>19000.0</v>
      </c>
      <c r="G338" s="197"/>
      <c r="H338" s="198"/>
      <c r="I338" s="198"/>
      <c r="J338" s="198"/>
      <c r="K338" s="199"/>
      <c r="L338" s="200"/>
      <c r="M338" s="200"/>
      <c r="N338" s="201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</row>
    <row r="339" ht="21.0" customHeight="1">
      <c r="A339" s="113">
        <v>46027.0</v>
      </c>
      <c r="B339" s="194" t="s">
        <v>869</v>
      </c>
      <c r="C339" s="195">
        <v>1.0</v>
      </c>
      <c r="D339" s="194" t="s">
        <v>870</v>
      </c>
      <c r="E339" s="196" t="s">
        <v>485</v>
      </c>
      <c r="F339" s="170">
        <v>25000.0</v>
      </c>
      <c r="G339" s="197"/>
      <c r="H339" s="198"/>
      <c r="I339" s="198"/>
      <c r="J339" s="198"/>
      <c r="K339" s="199"/>
      <c r="L339" s="200"/>
      <c r="M339" s="200"/>
      <c r="N339" s="201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</row>
    <row r="340" ht="21.0" customHeight="1">
      <c r="A340" s="113">
        <v>46027.0</v>
      </c>
      <c r="B340" s="194" t="s">
        <v>869</v>
      </c>
      <c r="C340" s="195">
        <v>1.0</v>
      </c>
      <c r="D340" s="194" t="s">
        <v>241</v>
      </c>
      <c r="E340" s="196" t="s">
        <v>485</v>
      </c>
      <c r="F340" s="170">
        <v>25000.0</v>
      </c>
      <c r="G340" s="197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</row>
    <row r="341" ht="21.0" customHeight="1">
      <c r="A341" s="127">
        <v>46027.0</v>
      </c>
      <c r="B341" s="202" t="s">
        <v>871</v>
      </c>
      <c r="C341" s="161">
        <v>3.0</v>
      </c>
      <c r="D341" s="194" t="s">
        <v>872</v>
      </c>
      <c r="E341" s="196" t="s">
        <v>485</v>
      </c>
      <c r="F341" s="159">
        <v>54000.0</v>
      </c>
      <c r="G341" s="197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</row>
    <row r="342" ht="21.0" customHeight="1">
      <c r="A342" s="127">
        <v>46027.0</v>
      </c>
      <c r="B342" s="160" t="s">
        <v>873</v>
      </c>
      <c r="C342" s="161">
        <v>1.0</v>
      </c>
      <c r="D342" s="194" t="s">
        <v>872</v>
      </c>
      <c r="E342" s="196" t="s">
        <v>485</v>
      </c>
      <c r="F342" s="170">
        <v>60000.0</v>
      </c>
      <c r="G342" s="197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</row>
    <row r="343" ht="21.0" customHeight="1">
      <c r="A343" s="127">
        <v>46027.0</v>
      </c>
      <c r="B343" s="203" t="s">
        <v>874</v>
      </c>
      <c r="C343" s="204">
        <v>3.0</v>
      </c>
      <c r="D343" s="194" t="s">
        <v>872</v>
      </c>
      <c r="E343" s="196" t="s">
        <v>485</v>
      </c>
      <c r="F343" s="170">
        <v>46500.0</v>
      </c>
      <c r="G343" s="197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</row>
    <row r="344" ht="21.0" customHeight="1">
      <c r="A344" s="127">
        <v>46027.0</v>
      </c>
      <c r="B344" s="160" t="s">
        <v>875</v>
      </c>
      <c r="C344" s="161">
        <v>2.0</v>
      </c>
      <c r="D344" s="194" t="s">
        <v>872</v>
      </c>
      <c r="E344" s="196" t="s">
        <v>485</v>
      </c>
      <c r="F344" s="159">
        <v>35000.0</v>
      </c>
      <c r="G344" s="197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</row>
    <row r="345" ht="21.0" customHeight="1">
      <c r="A345" s="127">
        <v>46028.0</v>
      </c>
      <c r="B345" s="194" t="s">
        <v>860</v>
      </c>
      <c r="C345" s="161">
        <v>1.0</v>
      </c>
      <c r="D345" s="160" t="s">
        <v>872</v>
      </c>
      <c r="E345" s="196" t="s">
        <v>485</v>
      </c>
      <c r="F345" s="170">
        <v>19000.0</v>
      </c>
      <c r="G345" s="197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</row>
    <row r="346" ht="21.0" customHeight="1">
      <c r="A346" s="127">
        <v>46028.0</v>
      </c>
      <c r="B346" s="194" t="s">
        <v>860</v>
      </c>
      <c r="C346" s="161">
        <v>1.0</v>
      </c>
      <c r="D346" s="160" t="s">
        <v>241</v>
      </c>
      <c r="E346" s="196" t="s">
        <v>485</v>
      </c>
      <c r="F346" s="170">
        <v>19000.0</v>
      </c>
      <c r="G346" s="197"/>
      <c r="H346" s="198"/>
      <c r="I346" s="198"/>
      <c r="J346" s="198"/>
      <c r="K346" s="199"/>
      <c r="L346" s="200"/>
      <c r="M346" s="200"/>
      <c r="N346" s="201"/>
      <c r="O346" s="205"/>
      <c r="P346" s="206"/>
      <c r="Q346" s="206"/>
      <c r="R346" s="206"/>
      <c r="S346" s="198"/>
      <c r="T346" s="198"/>
      <c r="U346" s="198"/>
      <c r="V346" s="198"/>
      <c r="W346" s="198"/>
      <c r="X346" s="198"/>
      <c r="Y346" s="198"/>
      <c r="Z346" s="198"/>
      <c r="AA346" s="198"/>
    </row>
    <row r="347" ht="21.0" customHeight="1">
      <c r="A347" s="113">
        <v>46031.0</v>
      </c>
      <c r="B347" s="194" t="s">
        <v>860</v>
      </c>
      <c r="C347" s="161">
        <v>1.0</v>
      </c>
      <c r="D347" s="160" t="s">
        <v>876</v>
      </c>
      <c r="E347" s="196" t="s">
        <v>485</v>
      </c>
      <c r="F347" s="170">
        <v>19000.0</v>
      </c>
      <c r="G347" s="197"/>
      <c r="H347" s="198"/>
      <c r="I347" s="198"/>
      <c r="J347" s="198"/>
      <c r="K347" s="207"/>
      <c r="L347" s="200"/>
      <c r="M347" s="200"/>
      <c r="N347" s="201"/>
      <c r="O347" s="205"/>
      <c r="P347" s="206"/>
      <c r="Q347" s="206"/>
      <c r="R347" s="206"/>
      <c r="S347" s="208"/>
      <c r="T347" s="209"/>
      <c r="U347" s="198"/>
      <c r="V347" s="198"/>
      <c r="W347" s="198"/>
      <c r="X347" s="198"/>
      <c r="Y347" s="198"/>
      <c r="Z347" s="198"/>
      <c r="AA347" s="198"/>
    </row>
    <row r="348" ht="21.0" customHeight="1">
      <c r="A348" s="113">
        <v>46032.0</v>
      </c>
      <c r="B348" s="160" t="s">
        <v>877</v>
      </c>
      <c r="C348" s="195">
        <v>1.0</v>
      </c>
      <c r="D348" s="194" t="s">
        <v>878</v>
      </c>
      <c r="E348" s="161" t="s">
        <v>485</v>
      </c>
      <c r="F348" s="170">
        <v>25000.0</v>
      </c>
      <c r="G348" s="197"/>
      <c r="H348" s="198"/>
      <c r="I348" s="198"/>
      <c r="J348" s="198"/>
      <c r="K348" s="199"/>
      <c r="L348" s="200"/>
      <c r="M348" s="200"/>
      <c r="N348" s="201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</row>
    <row r="349" ht="21.0" customHeight="1">
      <c r="A349" s="113">
        <v>46032.0</v>
      </c>
      <c r="B349" s="194" t="s">
        <v>879</v>
      </c>
      <c r="C349" s="195">
        <v>1.0</v>
      </c>
      <c r="D349" s="194" t="s">
        <v>880</v>
      </c>
      <c r="E349" s="161" t="s">
        <v>485</v>
      </c>
      <c r="F349" s="170">
        <v>19000.0</v>
      </c>
      <c r="G349" s="197" t="s">
        <v>862</v>
      </c>
      <c r="H349" s="198"/>
      <c r="I349" s="198"/>
      <c r="J349" s="198"/>
      <c r="K349" s="199"/>
      <c r="L349" s="200"/>
      <c r="M349" s="200"/>
      <c r="N349" s="201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</row>
    <row r="350" ht="21.0" customHeight="1">
      <c r="A350" s="113">
        <v>46032.0</v>
      </c>
      <c r="B350" s="194" t="s">
        <v>881</v>
      </c>
      <c r="C350" s="195">
        <v>1.0</v>
      </c>
      <c r="D350" s="194" t="s">
        <v>882</v>
      </c>
      <c r="E350" s="196" t="s">
        <v>485</v>
      </c>
      <c r="F350" s="170">
        <v>10000.0</v>
      </c>
      <c r="G350" s="197" t="s">
        <v>862</v>
      </c>
      <c r="H350" s="198"/>
      <c r="I350" s="198"/>
      <c r="J350" s="198"/>
      <c r="K350" s="199"/>
      <c r="L350" s="200"/>
      <c r="M350" s="200"/>
      <c r="N350" s="201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</row>
    <row r="351" ht="21.0" customHeight="1">
      <c r="A351" s="113">
        <v>46032.0</v>
      </c>
      <c r="B351" s="160" t="s">
        <v>883</v>
      </c>
      <c r="C351" s="161">
        <v>1.0</v>
      </c>
      <c r="D351" s="160" t="s">
        <v>884</v>
      </c>
      <c r="E351" s="161" t="s">
        <v>485</v>
      </c>
      <c r="F351" s="174">
        <v>25000.0</v>
      </c>
      <c r="G351" s="171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</row>
    <row r="352" ht="21.0" customHeight="1">
      <c r="A352" s="113">
        <v>46033.0</v>
      </c>
      <c r="B352" s="160" t="s">
        <v>640</v>
      </c>
      <c r="C352" s="161">
        <v>12.0</v>
      </c>
      <c r="D352" s="160" t="s">
        <v>885</v>
      </c>
      <c r="E352" s="196" t="s">
        <v>485</v>
      </c>
      <c r="F352" s="174">
        <v>80000.0</v>
      </c>
      <c r="G352" s="171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</row>
    <row r="353" ht="21.0" customHeight="1">
      <c r="A353" s="113">
        <v>46034.0</v>
      </c>
      <c r="B353" s="200" t="s">
        <v>886</v>
      </c>
      <c r="C353" s="210">
        <v>5.0</v>
      </c>
      <c r="D353" s="194" t="s">
        <v>779</v>
      </c>
      <c r="E353" s="195" t="s">
        <v>485</v>
      </c>
      <c r="F353" s="174">
        <v>112500.0</v>
      </c>
      <c r="G353" s="211" t="s">
        <v>887</v>
      </c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</row>
    <row r="354" ht="21.0" customHeight="1">
      <c r="A354" s="113">
        <v>46034.0</v>
      </c>
      <c r="B354" s="200" t="s">
        <v>888</v>
      </c>
      <c r="C354" s="210">
        <v>1.0</v>
      </c>
      <c r="D354" s="194" t="s">
        <v>779</v>
      </c>
      <c r="E354" s="195" t="s">
        <v>485</v>
      </c>
      <c r="F354" s="174">
        <v>21150.0</v>
      </c>
      <c r="G354" s="211" t="s">
        <v>887</v>
      </c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</row>
    <row r="355" ht="21.0" customHeight="1">
      <c r="A355" s="113">
        <v>46034.0</v>
      </c>
      <c r="B355" s="160" t="s">
        <v>889</v>
      </c>
      <c r="C355" s="210">
        <v>1.0</v>
      </c>
      <c r="D355" s="194" t="s">
        <v>508</v>
      </c>
      <c r="E355" s="195" t="s">
        <v>485</v>
      </c>
      <c r="F355" s="174">
        <v>19000.0</v>
      </c>
      <c r="G355" s="211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</row>
    <row r="356" ht="21.0" customHeight="1">
      <c r="A356" s="113">
        <v>46035.0</v>
      </c>
      <c r="B356" s="160" t="s">
        <v>890</v>
      </c>
      <c r="C356" s="210">
        <v>1.0</v>
      </c>
      <c r="D356" s="194" t="s">
        <v>891</v>
      </c>
      <c r="E356" s="195" t="s">
        <v>485</v>
      </c>
      <c r="F356" s="174">
        <v>19000.0</v>
      </c>
      <c r="G356" s="211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</row>
    <row r="357" ht="21.0" customHeight="1">
      <c r="A357" s="113">
        <v>46035.0</v>
      </c>
      <c r="B357" s="194" t="s">
        <v>892</v>
      </c>
      <c r="C357" s="210">
        <v>1.0</v>
      </c>
      <c r="D357" s="194" t="s">
        <v>893</v>
      </c>
      <c r="E357" s="195" t="s">
        <v>485</v>
      </c>
      <c r="F357" s="174">
        <v>19000.0</v>
      </c>
      <c r="G357" s="211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</row>
    <row r="358" ht="21.0" customHeight="1">
      <c r="A358" s="113">
        <v>46035.0</v>
      </c>
      <c r="B358" s="194" t="s">
        <v>894</v>
      </c>
      <c r="C358" s="195">
        <v>1.0</v>
      </c>
      <c r="D358" s="194" t="s">
        <v>895</v>
      </c>
      <c r="E358" s="195" t="s">
        <v>485</v>
      </c>
      <c r="F358" s="174">
        <v>15500.0</v>
      </c>
      <c r="G358" s="211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</row>
    <row r="359" ht="21.0" customHeight="1">
      <c r="A359" s="113">
        <v>46035.0</v>
      </c>
      <c r="B359" s="160" t="s">
        <v>896</v>
      </c>
      <c r="C359" s="161">
        <v>1.0</v>
      </c>
      <c r="D359" s="160" t="s">
        <v>872</v>
      </c>
      <c r="E359" s="161" t="s">
        <v>488</v>
      </c>
      <c r="F359" s="174">
        <v>15500.0</v>
      </c>
      <c r="G359" s="212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</row>
    <row r="360" ht="21.0" customHeight="1">
      <c r="A360" s="113">
        <v>46036.0</v>
      </c>
      <c r="B360" s="160" t="s">
        <v>897</v>
      </c>
      <c r="C360" s="161">
        <v>1.0</v>
      </c>
      <c r="D360" s="160" t="s">
        <v>884</v>
      </c>
      <c r="E360" s="161" t="s">
        <v>485</v>
      </c>
      <c r="F360" s="174">
        <v>25000.0</v>
      </c>
      <c r="G360" s="212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</row>
    <row r="361" ht="21.0" customHeight="1">
      <c r="A361" s="113">
        <v>46036.0</v>
      </c>
      <c r="B361" s="160" t="s">
        <v>898</v>
      </c>
      <c r="C361" s="161">
        <v>1.0</v>
      </c>
      <c r="D361" s="160" t="s">
        <v>899</v>
      </c>
      <c r="E361" s="161" t="s">
        <v>485</v>
      </c>
      <c r="F361" s="174">
        <v>19000.0</v>
      </c>
      <c r="G361" s="212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</row>
    <row r="362" ht="21.0" customHeight="1">
      <c r="A362" s="113">
        <v>46036.0</v>
      </c>
      <c r="B362" s="160" t="s">
        <v>830</v>
      </c>
      <c r="C362" s="161">
        <v>1.0</v>
      </c>
      <c r="D362" s="160" t="s">
        <v>241</v>
      </c>
      <c r="E362" s="161" t="s">
        <v>485</v>
      </c>
      <c r="F362" s="174">
        <v>25000.0</v>
      </c>
      <c r="G362" s="212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</row>
    <row r="363" ht="21.0" customHeight="1">
      <c r="A363" s="113">
        <v>46036.0</v>
      </c>
      <c r="B363" s="160" t="s">
        <v>900</v>
      </c>
      <c r="C363" s="161">
        <v>2.0</v>
      </c>
      <c r="D363" s="160" t="s">
        <v>901</v>
      </c>
      <c r="E363" s="161" t="s">
        <v>488</v>
      </c>
      <c r="F363" s="174">
        <v>38000.0</v>
      </c>
      <c r="G363" s="212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</row>
    <row r="364" ht="21.0" customHeight="1">
      <c r="A364" s="113">
        <v>46036.0</v>
      </c>
      <c r="B364" s="160" t="s">
        <v>902</v>
      </c>
      <c r="C364" s="161">
        <v>1.0</v>
      </c>
      <c r="D364" s="160" t="s">
        <v>903</v>
      </c>
      <c r="E364" s="161" t="s">
        <v>488</v>
      </c>
      <c r="F364" s="174">
        <v>25000.0</v>
      </c>
      <c r="G364" s="212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</row>
    <row r="365" ht="21.0" customHeight="1">
      <c r="A365" s="113">
        <v>46036.0</v>
      </c>
      <c r="B365" s="160" t="s">
        <v>904</v>
      </c>
      <c r="C365" s="161">
        <v>1.0</v>
      </c>
      <c r="D365" s="160" t="s">
        <v>241</v>
      </c>
      <c r="E365" s="161" t="s">
        <v>488</v>
      </c>
      <c r="F365" s="174">
        <v>25000.0</v>
      </c>
      <c r="G365" s="212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</row>
    <row r="366" ht="21.0" customHeight="1">
      <c r="A366" s="113">
        <v>46036.0</v>
      </c>
      <c r="B366" s="160" t="s">
        <v>905</v>
      </c>
      <c r="C366" s="161">
        <v>1.0</v>
      </c>
      <c r="D366" s="160" t="s">
        <v>241</v>
      </c>
      <c r="E366" s="161" t="s">
        <v>488</v>
      </c>
      <c r="F366" s="174">
        <v>19000.0</v>
      </c>
      <c r="G366" s="212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</row>
    <row r="367" ht="21.0" customHeight="1">
      <c r="A367" s="113">
        <v>46037.0</v>
      </c>
      <c r="B367" s="160" t="s">
        <v>906</v>
      </c>
      <c r="C367" s="161">
        <v>1.0</v>
      </c>
      <c r="D367" s="160" t="s">
        <v>555</v>
      </c>
      <c r="E367" s="161" t="s">
        <v>488</v>
      </c>
      <c r="F367" s="174">
        <v>25000.0</v>
      </c>
      <c r="G367" s="212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</row>
    <row r="368" ht="21.0" customHeight="1">
      <c r="A368" s="113">
        <v>46038.0</v>
      </c>
      <c r="B368" s="160" t="s">
        <v>907</v>
      </c>
      <c r="C368" s="161">
        <v>1.0</v>
      </c>
      <c r="D368" s="160" t="s">
        <v>908</v>
      </c>
      <c r="E368" s="161" t="s">
        <v>485</v>
      </c>
      <c r="F368" s="174">
        <v>19000.0</v>
      </c>
      <c r="G368" s="212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</row>
    <row r="369" ht="21.0" customHeight="1">
      <c r="A369" s="113">
        <v>46038.0</v>
      </c>
      <c r="B369" s="160" t="s">
        <v>909</v>
      </c>
      <c r="C369" s="161">
        <v>8.0</v>
      </c>
      <c r="D369" s="160" t="s">
        <v>910</v>
      </c>
      <c r="E369" s="161" t="s">
        <v>485</v>
      </c>
      <c r="F369" s="213">
        <f>10000*C369</f>
        <v>80000</v>
      </c>
      <c r="G369" s="212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</row>
    <row r="370" ht="21.0" customHeight="1">
      <c r="A370" s="113">
        <v>46038.0</v>
      </c>
      <c r="B370" s="160" t="s">
        <v>911</v>
      </c>
      <c r="C370" s="161">
        <v>1.0</v>
      </c>
      <c r="D370" s="160" t="s">
        <v>912</v>
      </c>
      <c r="E370" s="161" t="s">
        <v>485</v>
      </c>
      <c r="F370" s="174">
        <v>19000.0</v>
      </c>
      <c r="G370" s="212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</row>
    <row r="371" ht="21.0" customHeight="1">
      <c r="A371" s="113">
        <v>46038.0</v>
      </c>
      <c r="B371" s="160" t="s">
        <v>913</v>
      </c>
      <c r="C371" s="161">
        <v>5.0</v>
      </c>
      <c r="D371" s="160" t="s">
        <v>914</v>
      </c>
      <c r="E371" s="161" t="s">
        <v>488</v>
      </c>
      <c r="F371" s="174">
        <f>17500+19000+17500+19000+19000</f>
        <v>92000</v>
      </c>
      <c r="G371" s="212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</row>
    <row r="372" ht="21.0" customHeight="1">
      <c r="A372" s="113">
        <v>46038.0</v>
      </c>
      <c r="B372" s="160" t="s">
        <v>698</v>
      </c>
      <c r="C372" s="161">
        <v>1.0</v>
      </c>
      <c r="D372" s="160" t="s">
        <v>914</v>
      </c>
      <c r="E372" s="161" t="s">
        <v>488</v>
      </c>
      <c r="F372" s="174">
        <v>15500.0</v>
      </c>
      <c r="G372" s="212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</row>
    <row r="373" ht="21.0" customHeight="1">
      <c r="A373" s="113">
        <v>46038.0</v>
      </c>
      <c r="B373" s="160" t="s">
        <v>915</v>
      </c>
      <c r="C373" s="161">
        <v>8.0</v>
      </c>
      <c r="D373" s="160" t="s">
        <v>916</v>
      </c>
      <c r="E373" s="161" t="s">
        <v>488</v>
      </c>
      <c r="F373" s="174">
        <v>72000.0</v>
      </c>
      <c r="G373" s="212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</row>
    <row r="374" ht="21.0" customHeight="1">
      <c r="A374" s="113">
        <v>46039.0</v>
      </c>
      <c r="B374" s="160" t="s">
        <v>917</v>
      </c>
      <c r="C374" s="161">
        <v>1.0</v>
      </c>
      <c r="D374" s="160" t="s">
        <v>918</v>
      </c>
      <c r="E374" s="161" t="s">
        <v>485</v>
      </c>
      <c r="F374" s="174">
        <v>19000.0</v>
      </c>
      <c r="G374" s="212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</row>
    <row r="375" ht="21.0" customHeight="1">
      <c r="A375" s="113">
        <v>46039.0</v>
      </c>
      <c r="B375" s="160" t="s">
        <v>919</v>
      </c>
      <c r="C375" s="161">
        <v>1.0</v>
      </c>
      <c r="D375" s="160" t="s">
        <v>920</v>
      </c>
      <c r="E375" s="161" t="s">
        <v>485</v>
      </c>
      <c r="F375" s="174">
        <v>15500.0</v>
      </c>
      <c r="G375" s="212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</row>
    <row r="376" ht="21.0" customHeight="1">
      <c r="A376" s="113">
        <v>46039.0</v>
      </c>
      <c r="B376" s="160" t="s">
        <v>904</v>
      </c>
      <c r="C376" s="161">
        <v>1.0</v>
      </c>
      <c r="D376" s="160" t="s">
        <v>921</v>
      </c>
      <c r="E376" s="161" t="s">
        <v>485</v>
      </c>
      <c r="F376" s="174">
        <v>25000.0</v>
      </c>
      <c r="G376" s="212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</row>
    <row r="377" ht="21.0" customHeight="1">
      <c r="A377" s="113">
        <v>46041.0</v>
      </c>
      <c r="B377" s="160" t="s">
        <v>915</v>
      </c>
      <c r="C377" s="161">
        <v>4.0</v>
      </c>
      <c r="D377" s="160" t="s">
        <v>779</v>
      </c>
      <c r="E377" s="161" t="s">
        <v>488</v>
      </c>
      <c r="F377" s="174">
        <v>37500.0</v>
      </c>
      <c r="G377" s="212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</row>
    <row r="378" ht="21.0" customHeight="1">
      <c r="A378" s="113">
        <v>46041.0</v>
      </c>
      <c r="B378" s="160" t="s">
        <v>922</v>
      </c>
      <c r="C378" s="161">
        <v>2.0</v>
      </c>
      <c r="D378" s="160" t="s">
        <v>923</v>
      </c>
      <c r="E378" s="161" t="s">
        <v>485</v>
      </c>
      <c r="F378" s="174">
        <v>38000.0</v>
      </c>
      <c r="G378" s="212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</row>
    <row r="379" ht="21.0" customHeight="1">
      <c r="A379" s="113">
        <v>46042.0</v>
      </c>
      <c r="B379" s="160" t="s">
        <v>924</v>
      </c>
      <c r="C379" s="161">
        <v>1.0</v>
      </c>
      <c r="D379" s="160" t="s">
        <v>588</v>
      </c>
      <c r="E379" s="161" t="s">
        <v>488</v>
      </c>
      <c r="F379" s="174">
        <v>25000.0</v>
      </c>
      <c r="G379" s="212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</row>
    <row r="380" ht="21.0" customHeight="1">
      <c r="A380" s="113">
        <v>46042.0</v>
      </c>
      <c r="B380" s="160" t="s">
        <v>925</v>
      </c>
      <c r="C380" s="161">
        <v>50.0</v>
      </c>
      <c r="D380" s="160" t="s">
        <v>926</v>
      </c>
      <c r="E380" s="161" t="s">
        <v>485</v>
      </c>
      <c r="F380" s="174">
        <f>1500*50</f>
        <v>75000</v>
      </c>
      <c r="G380" s="212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</row>
    <row r="381" ht="21.0" customHeight="1">
      <c r="A381" s="113">
        <v>46042.0</v>
      </c>
      <c r="B381" s="160" t="s">
        <v>927</v>
      </c>
      <c r="C381" s="161">
        <v>1.0</v>
      </c>
      <c r="D381" s="160" t="s">
        <v>928</v>
      </c>
      <c r="E381" s="161" t="s">
        <v>485</v>
      </c>
      <c r="F381" s="174">
        <v>19000.0</v>
      </c>
      <c r="G381" s="212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</row>
    <row r="382" ht="21.0" customHeight="1">
      <c r="A382" s="113">
        <v>46043.0</v>
      </c>
      <c r="B382" s="160" t="s">
        <v>929</v>
      </c>
      <c r="C382" s="161">
        <v>1.0</v>
      </c>
      <c r="D382" s="160" t="s">
        <v>249</v>
      </c>
      <c r="E382" s="161" t="s">
        <v>485</v>
      </c>
      <c r="F382" s="174">
        <v>25000.0</v>
      </c>
      <c r="G382" s="212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</row>
    <row r="383" ht="21.0" customHeight="1">
      <c r="A383" s="113">
        <v>46043.0</v>
      </c>
      <c r="B383" s="160" t="s">
        <v>930</v>
      </c>
      <c r="C383" s="161">
        <v>1.0</v>
      </c>
      <c r="D383" s="160" t="s">
        <v>241</v>
      </c>
      <c r="E383" s="161" t="s">
        <v>485</v>
      </c>
      <c r="F383" s="174">
        <v>9000.0</v>
      </c>
      <c r="G383" s="212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</row>
    <row r="384" ht="21.0" customHeight="1">
      <c r="A384" s="113">
        <v>46043.0</v>
      </c>
      <c r="B384" s="160" t="s">
        <v>931</v>
      </c>
      <c r="C384" s="161">
        <v>19.0</v>
      </c>
      <c r="D384" s="160" t="s">
        <v>932</v>
      </c>
      <c r="E384" s="161" t="s">
        <v>485</v>
      </c>
      <c r="F384" s="213">
        <f>21000*17</f>
        <v>357000</v>
      </c>
      <c r="G384" s="212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</row>
    <row r="385" ht="21.0" customHeight="1">
      <c r="A385" s="113">
        <v>46043.0</v>
      </c>
      <c r="B385" s="160" t="s">
        <v>933</v>
      </c>
      <c r="C385" s="161">
        <v>1.0</v>
      </c>
      <c r="D385" s="160" t="s">
        <v>934</v>
      </c>
      <c r="E385" s="161" t="s">
        <v>485</v>
      </c>
      <c r="F385" s="174">
        <v>19000.0</v>
      </c>
      <c r="G385" s="212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</row>
    <row r="386" ht="21.0" customHeight="1">
      <c r="A386" s="113">
        <v>46043.0</v>
      </c>
      <c r="B386" s="160" t="s">
        <v>935</v>
      </c>
      <c r="C386" s="161">
        <v>1.0</v>
      </c>
      <c r="D386" s="160" t="s">
        <v>936</v>
      </c>
      <c r="E386" s="161" t="s">
        <v>485</v>
      </c>
      <c r="F386" s="174">
        <v>19000.0</v>
      </c>
      <c r="G386" s="212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</row>
    <row r="387" ht="21.0" customHeight="1">
      <c r="A387" s="113">
        <v>46043.0</v>
      </c>
      <c r="B387" s="160" t="s">
        <v>937</v>
      </c>
      <c r="C387" s="161">
        <v>1.0</v>
      </c>
      <c r="D387" s="160" t="s">
        <v>938</v>
      </c>
      <c r="E387" s="161" t="s">
        <v>485</v>
      </c>
      <c r="F387" s="174">
        <v>15500.0</v>
      </c>
      <c r="G387" s="212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</row>
    <row r="388" ht="21.0" customHeight="1">
      <c r="A388" s="113">
        <v>46043.0</v>
      </c>
      <c r="B388" s="160" t="s">
        <v>939</v>
      </c>
      <c r="C388" s="161">
        <v>2.0</v>
      </c>
      <c r="D388" s="160" t="s">
        <v>241</v>
      </c>
      <c r="E388" s="196"/>
      <c r="F388" s="213">
        <f>19000*C388</f>
        <v>38000</v>
      </c>
      <c r="G388" s="212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</row>
    <row r="389" ht="21.0" customHeight="1">
      <c r="A389" s="113">
        <v>46043.0</v>
      </c>
      <c r="B389" s="160" t="s">
        <v>940</v>
      </c>
      <c r="C389" s="161">
        <v>1.0</v>
      </c>
      <c r="D389" s="160" t="s">
        <v>941</v>
      </c>
      <c r="E389" s="161" t="s">
        <v>488</v>
      </c>
      <c r="F389" s="174">
        <v>25000.0</v>
      </c>
      <c r="G389" s="212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</row>
    <row r="390" ht="21.0" customHeight="1">
      <c r="A390" s="113">
        <v>46044.0</v>
      </c>
      <c r="B390" s="160" t="s">
        <v>942</v>
      </c>
      <c r="C390" s="161">
        <v>1.0</v>
      </c>
      <c r="D390" s="160" t="s">
        <v>943</v>
      </c>
      <c r="E390" s="161" t="s">
        <v>488</v>
      </c>
      <c r="F390" s="174">
        <v>25000.0</v>
      </c>
      <c r="G390" s="212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</row>
    <row r="391" ht="21.0" customHeight="1">
      <c r="A391" s="113">
        <v>46044.0</v>
      </c>
      <c r="B391" s="160" t="s">
        <v>940</v>
      </c>
      <c r="C391" s="161">
        <v>1.0</v>
      </c>
      <c r="D391" s="160" t="s">
        <v>241</v>
      </c>
      <c r="E391" s="161" t="s">
        <v>485</v>
      </c>
      <c r="F391" s="174">
        <v>25000.0</v>
      </c>
      <c r="G391" s="212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</row>
    <row r="392" ht="21.0" customHeight="1">
      <c r="A392" s="113">
        <v>46044.0</v>
      </c>
      <c r="B392" s="160" t="s">
        <v>944</v>
      </c>
      <c r="C392" s="161">
        <v>1.0</v>
      </c>
      <c r="D392" s="160" t="s">
        <v>241</v>
      </c>
      <c r="E392" s="161" t="s">
        <v>485</v>
      </c>
      <c r="F392" s="174">
        <v>23500.0</v>
      </c>
      <c r="G392" s="212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</row>
    <row r="393" ht="21.0" customHeight="1">
      <c r="A393" s="113">
        <v>46045.0</v>
      </c>
      <c r="B393" s="160" t="s">
        <v>945</v>
      </c>
      <c r="C393" s="161">
        <v>1.0</v>
      </c>
      <c r="D393" s="160" t="s">
        <v>946</v>
      </c>
      <c r="E393" s="161" t="s">
        <v>488</v>
      </c>
      <c r="F393" s="174">
        <v>19000.0</v>
      </c>
      <c r="G393" s="212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</row>
    <row r="394" ht="21.0" customHeight="1">
      <c r="A394" s="113">
        <v>46045.0</v>
      </c>
      <c r="B394" s="160" t="s">
        <v>947</v>
      </c>
      <c r="C394" s="161">
        <v>1.0</v>
      </c>
      <c r="D394" s="160" t="s">
        <v>946</v>
      </c>
      <c r="E394" s="161" t="s">
        <v>488</v>
      </c>
      <c r="F394" s="174">
        <v>25000.0</v>
      </c>
      <c r="G394" s="212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</row>
    <row r="395" ht="21.0" customHeight="1">
      <c r="A395" s="113">
        <v>46045.0</v>
      </c>
      <c r="B395" s="160" t="s">
        <v>948</v>
      </c>
      <c r="C395" s="161">
        <v>1.0</v>
      </c>
      <c r="D395" s="160" t="s">
        <v>949</v>
      </c>
      <c r="E395" s="161" t="s">
        <v>485</v>
      </c>
      <c r="F395" s="174">
        <v>25000.0</v>
      </c>
      <c r="G395" s="212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</row>
    <row r="396" ht="21.0" customHeight="1">
      <c r="A396" s="113">
        <v>46048.0</v>
      </c>
      <c r="B396" s="160" t="s">
        <v>924</v>
      </c>
      <c r="C396" s="161">
        <v>1.0</v>
      </c>
      <c r="D396" s="160" t="s">
        <v>867</v>
      </c>
      <c r="E396" s="161" t="s">
        <v>485</v>
      </c>
      <c r="F396" s="174">
        <v>25000.0</v>
      </c>
      <c r="G396" s="212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</row>
    <row r="397" ht="21.0" customHeight="1">
      <c r="A397" s="113">
        <v>46048.0</v>
      </c>
      <c r="B397" s="160" t="s">
        <v>933</v>
      </c>
      <c r="C397" s="161">
        <v>1.0</v>
      </c>
      <c r="D397" s="160" t="s">
        <v>867</v>
      </c>
      <c r="E397" s="161" t="s">
        <v>485</v>
      </c>
      <c r="F397" s="174">
        <v>19000.0</v>
      </c>
      <c r="G397" s="212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</row>
    <row r="398" ht="21.0" customHeight="1">
      <c r="A398" s="113">
        <v>46048.0</v>
      </c>
      <c r="B398" s="160" t="s">
        <v>950</v>
      </c>
      <c r="C398" s="161">
        <v>2.0</v>
      </c>
      <c r="D398" s="160" t="s">
        <v>923</v>
      </c>
      <c r="E398" s="161" t="s">
        <v>485</v>
      </c>
      <c r="F398" s="174">
        <f>17500*C398</f>
        <v>35000</v>
      </c>
      <c r="G398" s="212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</row>
    <row r="399" ht="21.0" customHeight="1">
      <c r="A399" s="113">
        <v>46048.0</v>
      </c>
      <c r="B399" s="160" t="s">
        <v>889</v>
      </c>
      <c r="C399" s="161">
        <v>3.0</v>
      </c>
      <c r="D399" s="160" t="s">
        <v>923</v>
      </c>
      <c r="E399" s="161" t="s">
        <v>485</v>
      </c>
      <c r="F399" s="174">
        <f>19000*C399</f>
        <v>57000</v>
      </c>
      <c r="G399" s="212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</row>
    <row r="400" ht="21.0" customHeight="1">
      <c r="A400" s="113">
        <v>46048.0</v>
      </c>
      <c r="B400" s="160" t="s">
        <v>947</v>
      </c>
      <c r="C400" s="161">
        <v>1.0</v>
      </c>
      <c r="D400" s="160" t="s">
        <v>951</v>
      </c>
      <c r="E400" s="161" t="s">
        <v>485</v>
      </c>
      <c r="F400" s="174">
        <v>25000.0</v>
      </c>
      <c r="G400" s="212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</row>
    <row r="401" ht="21.0" customHeight="1">
      <c r="A401" s="113">
        <v>46048.0</v>
      </c>
      <c r="B401" s="160" t="s">
        <v>952</v>
      </c>
      <c r="C401" s="161">
        <v>10.0</v>
      </c>
      <c r="D401" s="160" t="s">
        <v>951</v>
      </c>
      <c r="E401" s="161" t="s">
        <v>485</v>
      </c>
      <c r="F401" s="174">
        <f>1500*C401</f>
        <v>15000</v>
      </c>
      <c r="G401" s="212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</row>
    <row r="402" ht="21.0" customHeight="1">
      <c r="A402" s="113">
        <v>46048.0</v>
      </c>
      <c r="B402" s="160" t="s">
        <v>953</v>
      </c>
      <c r="C402" s="161">
        <v>1.0</v>
      </c>
      <c r="D402" s="160" t="s">
        <v>241</v>
      </c>
      <c r="E402" s="161" t="s">
        <v>485</v>
      </c>
      <c r="F402" s="174">
        <v>9000.0</v>
      </c>
      <c r="G402" s="212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</row>
    <row r="403" ht="21.0" customHeight="1">
      <c r="A403" s="113">
        <v>46049.0</v>
      </c>
      <c r="B403" s="160" t="s">
        <v>954</v>
      </c>
      <c r="C403" s="161">
        <v>1.0</v>
      </c>
      <c r="D403" s="160" t="s">
        <v>955</v>
      </c>
      <c r="E403" s="161" t="s">
        <v>488</v>
      </c>
      <c r="F403" s="174">
        <v>18000.0</v>
      </c>
      <c r="G403" s="212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</row>
    <row r="404" ht="21.0" customHeight="1">
      <c r="A404" s="113">
        <v>46049.0</v>
      </c>
      <c r="B404" s="160" t="s">
        <v>956</v>
      </c>
      <c r="C404" s="161">
        <v>10.0</v>
      </c>
      <c r="D404" s="160" t="s">
        <v>901</v>
      </c>
      <c r="E404" s="161" t="s">
        <v>488</v>
      </c>
      <c r="F404" s="174">
        <f>17500*C404</f>
        <v>175000</v>
      </c>
      <c r="G404" s="212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</row>
    <row r="405" ht="21.0" customHeight="1">
      <c r="A405" s="113">
        <v>46049.0</v>
      </c>
      <c r="B405" s="160" t="s">
        <v>957</v>
      </c>
      <c r="C405" s="161">
        <v>1.0</v>
      </c>
      <c r="D405" s="160" t="s">
        <v>543</v>
      </c>
      <c r="E405" s="161" t="s">
        <v>485</v>
      </c>
      <c r="F405" s="174">
        <v>27000.0</v>
      </c>
      <c r="G405" s="212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</row>
    <row r="406" ht="21.0" customHeight="1">
      <c r="A406" s="113">
        <v>46049.0</v>
      </c>
      <c r="B406" s="160" t="s">
        <v>958</v>
      </c>
      <c r="C406" s="161">
        <v>1.0</v>
      </c>
      <c r="D406" s="160" t="s">
        <v>959</v>
      </c>
      <c r="E406" s="161" t="s">
        <v>485</v>
      </c>
      <c r="F406" s="174">
        <v>27000.0</v>
      </c>
      <c r="G406" s="212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</row>
    <row r="407" ht="21.0" customHeight="1">
      <c r="A407" s="113">
        <v>46049.0</v>
      </c>
      <c r="B407" s="160" t="s">
        <v>924</v>
      </c>
      <c r="C407" s="161">
        <v>1.0</v>
      </c>
      <c r="D407" s="160" t="s">
        <v>960</v>
      </c>
      <c r="E407" s="161" t="s">
        <v>485</v>
      </c>
      <c r="F407" s="174">
        <v>27000.0</v>
      </c>
      <c r="G407" s="212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</row>
    <row r="408" ht="21.0" customHeight="1">
      <c r="A408" s="113">
        <v>46049.0</v>
      </c>
      <c r="B408" s="160" t="s">
        <v>961</v>
      </c>
      <c r="C408" s="161">
        <v>1.0</v>
      </c>
      <c r="D408" s="160" t="s">
        <v>962</v>
      </c>
      <c r="E408" s="161" t="s">
        <v>485</v>
      </c>
      <c r="F408" s="174">
        <v>25000.0</v>
      </c>
      <c r="G408" s="212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</row>
    <row r="409" ht="21.0" customHeight="1">
      <c r="A409" s="113">
        <v>46049.0</v>
      </c>
      <c r="B409" s="160" t="s">
        <v>963</v>
      </c>
      <c r="C409" s="161">
        <v>1.0</v>
      </c>
      <c r="D409" s="160" t="s">
        <v>964</v>
      </c>
      <c r="E409" s="161" t="s">
        <v>485</v>
      </c>
      <c r="F409" s="174">
        <v>25000.0</v>
      </c>
      <c r="G409" s="212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</row>
    <row r="410" ht="21.0" customHeight="1">
      <c r="A410" s="113">
        <v>46049.0</v>
      </c>
      <c r="B410" s="160" t="s">
        <v>965</v>
      </c>
      <c r="C410" s="161">
        <v>6.0</v>
      </c>
      <c r="D410" s="160" t="s">
        <v>966</v>
      </c>
      <c r="E410" s="161" t="s">
        <v>488</v>
      </c>
      <c r="F410" s="174">
        <f t="shared" ref="F410:F411" si="2">17100*C410</f>
        <v>102600</v>
      </c>
      <c r="G410" s="212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</row>
    <row r="411" ht="21.0" customHeight="1">
      <c r="A411" s="113">
        <v>46049.0</v>
      </c>
      <c r="B411" s="160" t="s">
        <v>950</v>
      </c>
      <c r="C411" s="161">
        <v>1.0</v>
      </c>
      <c r="D411" s="160" t="s">
        <v>966</v>
      </c>
      <c r="E411" s="161" t="s">
        <v>488</v>
      </c>
      <c r="F411" s="174">
        <f t="shared" si="2"/>
        <v>17100</v>
      </c>
      <c r="G411" s="212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</row>
    <row r="412" ht="21.0" customHeight="1">
      <c r="A412" s="113">
        <v>46049.0</v>
      </c>
      <c r="B412" s="160" t="s">
        <v>967</v>
      </c>
      <c r="C412" s="161">
        <v>2.0</v>
      </c>
      <c r="D412" s="160" t="s">
        <v>966</v>
      </c>
      <c r="E412" s="161" t="s">
        <v>488</v>
      </c>
      <c r="F412" s="174">
        <v>20000.0</v>
      </c>
      <c r="G412" s="212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</row>
    <row r="413" ht="21.0" customHeight="1">
      <c r="A413" s="113">
        <v>46050.0</v>
      </c>
      <c r="B413" s="160" t="s">
        <v>968</v>
      </c>
      <c r="C413" s="161">
        <v>6.0</v>
      </c>
      <c r="D413" s="160" t="s">
        <v>969</v>
      </c>
      <c r="E413" s="161" t="s">
        <v>485</v>
      </c>
      <c r="F413" s="174">
        <v>60000.0</v>
      </c>
      <c r="G413" s="212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</row>
    <row r="414" ht="21.0" customHeight="1">
      <c r="A414" s="113">
        <v>46050.0</v>
      </c>
      <c r="B414" s="160" t="s">
        <v>957</v>
      </c>
      <c r="C414" s="161">
        <v>1.0</v>
      </c>
      <c r="D414" s="160" t="s">
        <v>970</v>
      </c>
      <c r="E414" s="161" t="s">
        <v>488</v>
      </c>
      <c r="F414" s="174">
        <v>27000.0</v>
      </c>
      <c r="G414" s="212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</row>
    <row r="415" ht="21.0" customHeight="1">
      <c r="A415" s="113">
        <v>46050.0</v>
      </c>
      <c r="B415" s="160" t="s">
        <v>971</v>
      </c>
      <c r="C415" s="161">
        <v>1.0</v>
      </c>
      <c r="D415" s="160" t="s">
        <v>111</v>
      </c>
      <c r="E415" s="161" t="s">
        <v>485</v>
      </c>
      <c r="F415" s="174">
        <v>25000.0</v>
      </c>
      <c r="G415" s="212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</row>
    <row r="416" ht="21.0" customHeight="1">
      <c r="A416" s="113">
        <v>46050.0</v>
      </c>
      <c r="B416" s="160" t="s">
        <v>972</v>
      </c>
      <c r="C416" s="161">
        <v>1.0</v>
      </c>
      <c r="D416" s="160" t="s">
        <v>901</v>
      </c>
      <c r="E416" s="161" t="s">
        <v>488</v>
      </c>
      <c r="F416" s="174">
        <v>17500.0</v>
      </c>
      <c r="G416" s="212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</row>
    <row r="417" ht="21.0" customHeight="1">
      <c r="A417" s="113">
        <v>46050.0</v>
      </c>
      <c r="B417" s="160" t="s">
        <v>961</v>
      </c>
      <c r="C417" s="161">
        <v>1.0</v>
      </c>
      <c r="D417" s="160" t="s">
        <v>579</v>
      </c>
      <c r="E417" s="161" t="s">
        <v>485</v>
      </c>
      <c r="F417" s="174">
        <v>25000.0</v>
      </c>
      <c r="G417" s="212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</row>
    <row r="418" ht="21.0" customHeight="1">
      <c r="A418" s="113">
        <v>46050.0</v>
      </c>
      <c r="B418" s="160" t="s">
        <v>973</v>
      </c>
      <c r="C418" s="161">
        <v>1.0</v>
      </c>
      <c r="D418" s="160" t="s">
        <v>579</v>
      </c>
      <c r="E418" s="161" t="s">
        <v>485</v>
      </c>
      <c r="F418" s="174">
        <v>19000.0</v>
      </c>
      <c r="G418" s="212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</row>
    <row r="419" ht="21.0" customHeight="1">
      <c r="A419" s="113">
        <v>46050.0</v>
      </c>
      <c r="B419" s="160" t="s">
        <v>974</v>
      </c>
      <c r="C419" s="161">
        <v>1.0</v>
      </c>
      <c r="D419" s="160" t="s">
        <v>975</v>
      </c>
      <c r="E419" s="161" t="s">
        <v>485</v>
      </c>
      <c r="F419" s="174">
        <v>19000.0</v>
      </c>
      <c r="G419" s="212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</row>
    <row r="420" ht="21.0" customHeight="1">
      <c r="A420" s="113">
        <v>46050.0</v>
      </c>
      <c r="B420" s="160" t="s">
        <v>976</v>
      </c>
      <c r="C420" s="161">
        <v>1.0</v>
      </c>
      <c r="D420" s="160" t="s">
        <v>977</v>
      </c>
      <c r="E420" s="161" t="s">
        <v>485</v>
      </c>
      <c r="F420" s="174">
        <v>21000.0</v>
      </c>
      <c r="G420" s="212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</row>
    <row r="421" ht="21.0" customHeight="1">
      <c r="A421" s="113">
        <v>46051.0</v>
      </c>
      <c r="B421" s="160" t="s">
        <v>978</v>
      </c>
      <c r="C421" s="161">
        <v>1.0</v>
      </c>
      <c r="D421" s="160" t="s">
        <v>979</v>
      </c>
      <c r="E421" s="161" t="s">
        <v>485</v>
      </c>
      <c r="F421" s="174">
        <v>19000.0</v>
      </c>
      <c r="G421" s="212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</row>
    <row r="422" ht="21.0" customHeight="1">
      <c r="A422" s="113">
        <v>46051.0</v>
      </c>
      <c r="B422" s="160" t="s">
        <v>980</v>
      </c>
      <c r="C422" s="161">
        <v>1.0</v>
      </c>
      <c r="D422" s="160" t="s">
        <v>981</v>
      </c>
      <c r="E422" s="161" t="s">
        <v>485</v>
      </c>
      <c r="F422" s="214">
        <v>9500.0</v>
      </c>
      <c r="G422" s="212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</row>
    <row r="423" ht="21.0" customHeight="1">
      <c r="A423" s="113">
        <v>46051.0</v>
      </c>
      <c r="B423" s="160" t="s">
        <v>973</v>
      </c>
      <c r="C423" s="161">
        <v>1.0</v>
      </c>
      <c r="D423" s="160" t="s">
        <v>982</v>
      </c>
      <c r="E423" s="161" t="s">
        <v>488</v>
      </c>
      <c r="F423" s="214">
        <v>19000.0</v>
      </c>
      <c r="G423" s="215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</row>
    <row r="424" ht="21.0" customHeight="1">
      <c r="A424" s="113">
        <v>46051.0</v>
      </c>
      <c r="B424" s="160" t="s">
        <v>983</v>
      </c>
      <c r="C424" s="161">
        <v>2.0</v>
      </c>
      <c r="D424" s="160" t="s">
        <v>984</v>
      </c>
      <c r="E424" s="161" t="s">
        <v>485</v>
      </c>
      <c r="F424" s="214">
        <f>21400+19000</f>
        <v>40400</v>
      </c>
      <c r="G424" s="215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</row>
    <row r="425" ht="21.0" customHeight="1">
      <c r="A425" s="113">
        <v>46051.0</v>
      </c>
      <c r="B425" s="160" t="s">
        <v>985</v>
      </c>
      <c r="C425" s="161">
        <v>1.0</v>
      </c>
      <c r="D425" s="160" t="s">
        <v>986</v>
      </c>
      <c r="E425" s="161" t="s">
        <v>485</v>
      </c>
      <c r="F425" s="214">
        <v>19000.0</v>
      </c>
      <c r="G425" s="215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</row>
    <row r="426" ht="21.0" customHeight="1">
      <c r="A426" s="113">
        <v>46052.0</v>
      </c>
      <c r="B426" s="160" t="s">
        <v>987</v>
      </c>
      <c r="C426" s="161">
        <v>1.0</v>
      </c>
      <c r="D426" s="160" t="s">
        <v>988</v>
      </c>
      <c r="E426" s="161" t="s">
        <v>485</v>
      </c>
      <c r="F426" s="214">
        <v>19000.0</v>
      </c>
      <c r="G426" s="215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</row>
    <row r="427" ht="21.0" customHeight="1">
      <c r="A427" s="113">
        <v>46053.0</v>
      </c>
      <c r="B427" s="160" t="s">
        <v>989</v>
      </c>
      <c r="C427" s="161">
        <v>2.0</v>
      </c>
      <c r="D427" s="160" t="s">
        <v>241</v>
      </c>
      <c r="E427" s="161" t="s">
        <v>485</v>
      </c>
      <c r="F427" s="214">
        <f>19500*2</f>
        <v>39000</v>
      </c>
      <c r="G427" s="215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</row>
    <row r="428" ht="21.0" customHeight="1">
      <c r="A428" s="113">
        <v>46053.0</v>
      </c>
      <c r="B428" s="160" t="s">
        <v>971</v>
      </c>
      <c r="C428" s="161">
        <v>1.0</v>
      </c>
      <c r="D428" s="160" t="s">
        <v>990</v>
      </c>
      <c r="E428" s="161" t="s">
        <v>485</v>
      </c>
      <c r="F428" s="214">
        <v>27000.0</v>
      </c>
      <c r="G428" s="215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</row>
    <row r="429" ht="21.0" customHeight="1">
      <c r="A429" s="113">
        <v>46053.0</v>
      </c>
      <c r="B429" s="160" t="s">
        <v>991</v>
      </c>
      <c r="C429" s="161">
        <v>2.0</v>
      </c>
      <c r="D429" s="160" t="s">
        <v>579</v>
      </c>
      <c r="E429" s="161" t="s">
        <v>485</v>
      </c>
      <c r="F429" s="214">
        <f>14500*C429</f>
        <v>29000</v>
      </c>
      <c r="G429" s="215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</row>
    <row r="430" ht="21.0" customHeight="1">
      <c r="A430" s="113">
        <v>46053.0</v>
      </c>
      <c r="B430" s="160" t="s">
        <v>992</v>
      </c>
      <c r="C430" s="161">
        <v>1.0</v>
      </c>
      <c r="D430" s="160" t="s">
        <v>993</v>
      </c>
      <c r="E430" s="161" t="s">
        <v>485</v>
      </c>
      <c r="F430" s="214">
        <v>21000.0</v>
      </c>
      <c r="G430" s="215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</row>
    <row r="431" ht="21.0" customHeight="1">
      <c r="A431" s="113">
        <v>46053.0</v>
      </c>
      <c r="B431" s="160" t="s">
        <v>994</v>
      </c>
      <c r="C431" s="161">
        <v>1.0</v>
      </c>
      <c r="D431" s="160" t="s">
        <v>995</v>
      </c>
      <c r="E431" s="161" t="s">
        <v>485</v>
      </c>
      <c r="F431" s="214">
        <v>27000.0</v>
      </c>
      <c r="G431" s="215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</row>
    <row r="432" ht="21.0" customHeight="1">
      <c r="A432" s="113">
        <v>46053.0</v>
      </c>
      <c r="B432" s="160" t="s">
        <v>996</v>
      </c>
      <c r="C432" s="161">
        <v>1.0</v>
      </c>
      <c r="D432" s="160" t="s">
        <v>997</v>
      </c>
      <c r="E432" s="161" t="s">
        <v>485</v>
      </c>
      <c r="F432" s="214">
        <v>27000.0</v>
      </c>
      <c r="G432" s="215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</row>
    <row r="433" ht="21.0" customHeight="1">
      <c r="A433" s="113"/>
      <c r="B433" s="160"/>
      <c r="C433" s="161"/>
      <c r="D433" s="160"/>
      <c r="E433" s="161"/>
      <c r="F433" s="214"/>
      <c r="G433" s="215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</row>
    <row r="434" ht="21.0" customHeight="1">
      <c r="A434" s="113"/>
      <c r="B434" s="160"/>
      <c r="C434" s="161"/>
      <c r="D434" s="160"/>
      <c r="E434" s="161"/>
      <c r="F434" s="214"/>
      <c r="G434" s="215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</row>
    <row r="435" ht="39.0" customHeight="1">
      <c r="A435" s="216" t="s">
        <v>573</v>
      </c>
      <c r="B435" s="133"/>
      <c r="C435" s="133"/>
      <c r="D435" s="133"/>
      <c r="E435" s="134"/>
      <c r="F435" s="217">
        <f>SUM(F333:F434)</f>
        <v>3367750</v>
      </c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  <c r="AA435" s="218"/>
    </row>
    <row r="436">
      <c r="A436" s="183"/>
      <c r="B436" s="183"/>
      <c r="C436" s="183"/>
      <c r="D436" s="183"/>
      <c r="E436" s="219"/>
      <c r="F436" s="219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</row>
    <row r="437">
      <c r="A437" s="183"/>
      <c r="B437" s="183"/>
      <c r="C437" s="183"/>
      <c r="D437" s="183"/>
      <c r="E437" s="219"/>
      <c r="F437" s="219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</row>
    <row r="438">
      <c r="A438" s="183"/>
      <c r="B438" s="183"/>
      <c r="C438" s="183"/>
      <c r="D438" s="183"/>
      <c r="E438" s="219"/>
      <c r="F438" s="219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</row>
    <row r="439">
      <c r="A439" s="183"/>
      <c r="B439" s="183"/>
      <c r="C439" s="183"/>
      <c r="D439" s="183"/>
      <c r="E439" s="219"/>
      <c r="F439" s="219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</row>
    <row r="440">
      <c r="A440" s="183"/>
      <c r="B440" s="183"/>
      <c r="C440" s="183"/>
      <c r="D440" s="183"/>
      <c r="E440" s="219"/>
      <c r="F440" s="219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</row>
    <row r="441">
      <c r="A441" s="183"/>
      <c r="B441" s="183"/>
      <c r="C441" s="183"/>
      <c r="D441" s="183"/>
      <c r="E441" s="219"/>
      <c r="F441" s="219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</row>
    <row r="442">
      <c r="A442" s="183"/>
      <c r="B442" s="183"/>
      <c r="C442" s="183"/>
      <c r="D442" s="183"/>
      <c r="E442" s="219"/>
      <c r="F442" s="219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</row>
    <row r="443">
      <c r="A443" s="183"/>
      <c r="B443" s="183"/>
      <c r="C443" s="183"/>
      <c r="D443" s="183"/>
      <c r="E443" s="219"/>
      <c r="F443" s="219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</row>
    <row r="444">
      <c r="A444" s="183"/>
      <c r="B444" s="183"/>
      <c r="C444" s="183"/>
      <c r="D444" s="183"/>
      <c r="E444" s="219"/>
      <c r="F444" s="219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</row>
    <row r="445">
      <c r="A445" s="183"/>
      <c r="B445" s="183"/>
      <c r="C445" s="183"/>
      <c r="D445" s="183"/>
      <c r="E445" s="219"/>
      <c r="F445" s="219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</row>
    <row r="446">
      <c r="A446" s="183"/>
      <c r="B446" s="183"/>
      <c r="C446" s="183"/>
      <c r="D446" s="183"/>
      <c r="E446" s="219"/>
      <c r="F446" s="219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</row>
    <row r="447">
      <c r="A447" s="183"/>
      <c r="B447" s="183"/>
      <c r="C447" s="183"/>
      <c r="D447" s="183"/>
      <c r="E447" s="219"/>
      <c r="F447" s="219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</row>
    <row r="448">
      <c r="A448" s="183"/>
      <c r="B448" s="183"/>
      <c r="C448" s="183"/>
      <c r="D448" s="183"/>
      <c r="E448" s="219"/>
      <c r="F448" s="219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</row>
    <row r="449">
      <c r="A449" s="183"/>
      <c r="B449" s="183"/>
      <c r="C449" s="183"/>
      <c r="D449" s="183"/>
      <c r="E449" s="219"/>
      <c r="F449" s="219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</row>
    <row r="450">
      <c r="A450" s="183"/>
      <c r="B450" s="183"/>
      <c r="C450" s="183"/>
      <c r="D450" s="183"/>
      <c r="E450" s="219"/>
      <c r="F450" s="219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</row>
    <row r="451">
      <c r="A451" s="183"/>
      <c r="B451" s="183"/>
      <c r="C451" s="183"/>
      <c r="D451" s="183"/>
      <c r="E451" s="219"/>
      <c r="F451" s="219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</row>
    <row r="452">
      <c r="A452" s="183"/>
      <c r="B452" s="183"/>
      <c r="C452" s="183"/>
      <c r="D452" s="183"/>
      <c r="E452" s="219"/>
      <c r="F452" s="219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</row>
    <row r="453">
      <c r="A453" s="183"/>
      <c r="B453" s="183"/>
      <c r="C453" s="183"/>
      <c r="D453" s="183"/>
      <c r="E453" s="219"/>
      <c r="F453" s="219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</row>
    <row r="454">
      <c r="A454" s="183"/>
      <c r="B454" s="183"/>
      <c r="C454" s="183"/>
      <c r="D454" s="183"/>
      <c r="E454" s="219"/>
      <c r="F454" s="219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</row>
    <row r="455">
      <c r="A455" s="183"/>
      <c r="B455" s="183"/>
      <c r="C455" s="183"/>
      <c r="D455" s="183"/>
      <c r="E455" s="219"/>
      <c r="F455" s="219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</row>
    <row r="456">
      <c r="A456" s="183"/>
      <c r="B456" s="183"/>
      <c r="C456" s="183"/>
      <c r="D456" s="183"/>
      <c r="E456" s="219"/>
      <c r="F456" s="219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</row>
    <row r="457">
      <c r="A457" s="183"/>
      <c r="B457" s="183"/>
      <c r="C457" s="183"/>
      <c r="D457" s="183"/>
      <c r="E457" s="219"/>
      <c r="F457" s="219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</row>
    <row r="458">
      <c r="A458" s="183"/>
      <c r="B458" s="183"/>
      <c r="C458" s="183"/>
      <c r="D458" s="183"/>
      <c r="E458" s="219"/>
      <c r="F458" s="219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</row>
    <row r="459">
      <c r="A459" s="183"/>
      <c r="B459" s="183"/>
      <c r="C459" s="183"/>
      <c r="D459" s="183"/>
      <c r="E459" s="219"/>
      <c r="F459" s="219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</row>
    <row r="460">
      <c r="A460" s="183"/>
      <c r="B460" s="183"/>
      <c r="C460" s="183"/>
      <c r="D460" s="183"/>
      <c r="E460" s="219"/>
      <c r="F460" s="219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</row>
    <row r="461">
      <c r="A461" s="183"/>
      <c r="B461" s="183"/>
      <c r="C461" s="183"/>
      <c r="D461" s="183"/>
      <c r="E461" s="219"/>
      <c r="F461" s="219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</row>
    <row r="462">
      <c r="A462" s="183"/>
      <c r="B462" s="183"/>
      <c r="C462" s="183"/>
      <c r="D462" s="183"/>
      <c r="E462" s="219"/>
      <c r="F462" s="219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</row>
    <row r="463">
      <c r="A463" s="183"/>
      <c r="B463" s="183"/>
      <c r="C463" s="183"/>
      <c r="D463" s="183"/>
      <c r="E463" s="219"/>
      <c r="F463" s="219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</row>
    <row r="464">
      <c r="A464" s="183"/>
      <c r="B464" s="183"/>
      <c r="C464" s="183"/>
      <c r="D464" s="183"/>
      <c r="E464" s="219"/>
      <c r="F464" s="219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</row>
    <row r="465">
      <c r="A465" s="183"/>
      <c r="B465" s="183"/>
      <c r="C465" s="183"/>
      <c r="D465" s="183"/>
      <c r="E465" s="219"/>
      <c r="F465" s="219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</row>
    <row r="466">
      <c r="A466" s="183"/>
      <c r="B466" s="183"/>
      <c r="C466" s="183"/>
      <c r="D466" s="183"/>
      <c r="E466" s="219"/>
      <c r="F466" s="219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</row>
    <row r="467">
      <c r="A467" s="183"/>
      <c r="B467" s="183"/>
      <c r="C467" s="183"/>
      <c r="D467" s="183"/>
      <c r="E467" s="219"/>
      <c r="F467" s="219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</row>
    <row r="468">
      <c r="A468" s="183"/>
      <c r="B468" s="183"/>
      <c r="C468" s="183"/>
      <c r="D468" s="183"/>
      <c r="E468" s="219"/>
      <c r="F468" s="219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</row>
    <row r="469">
      <c r="A469" s="183"/>
      <c r="B469" s="183"/>
      <c r="C469" s="183"/>
      <c r="D469" s="183"/>
      <c r="E469" s="219"/>
      <c r="F469" s="219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</row>
    <row r="470">
      <c r="A470" s="183"/>
      <c r="B470" s="183"/>
      <c r="C470" s="183"/>
      <c r="D470" s="183"/>
      <c r="E470" s="219"/>
      <c r="F470" s="219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</row>
    <row r="471">
      <c r="A471" s="183"/>
      <c r="B471" s="183"/>
      <c r="C471" s="183"/>
      <c r="D471" s="183"/>
      <c r="E471" s="219"/>
      <c r="F471" s="219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</row>
    <row r="472">
      <c r="A472" s="183"/>
      <c r="B472" s="183"/>
      <c r="C472" s="183"/>
      <c r="D472" s="183"/>
      <c r="E472" s="219"/>
      <c r="F472" s="219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</row>
    <row r="473">
      <c r="A473" s="183"/>
      <c r="B473" s="183"/>
      <c r="C473" s="183"/>
      <c r="D473" s="183"/>
      <c r="E473" s="219"/>
      <c r="F473" s="219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</row>
    <row r="474">
      <c r="A474" s="183"/>
      <c r="B474" s="183"/>
      <c r="C474" s="183"/>
      <c r="D474" s="183"/>
      <c r="E474" s="219"/>
      <c r="F474" s="219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</row>
    <row r="475">
      <c r="A475" s="183"/>
      <c r="B475" s="183"/>
      <c r="C475" s="183"/>
      <c r="D475" s="183"/>
      <c r="E475" s="219"/>
      <c r="F475" s="219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</row>
    <row r="476">
      <c r="A476" s="183"/>
      <c r="B476" s="183"/>
      <c r="C476" s="183"/>
      <c r="D476" s="183"/>
      <c r="E476" s="219"/>
      <c r="F476" s="219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</row>
    <row r="477">
      <c r="A477" s="183"/>
      <c r="B477" s="183"/>
      <c r="C477" s="183"/>
      <c r="D477" s="183"/>
      <c r="E477" s="219"/>
      <c r="F477" s="219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</row>
    <row r="478">
      <c r="A478" s="183"/>
      <c r="B478" s="183"/>
      <c r="C478" s="183"/>
      <c r="D478" s="183"/>
      <c r="E478" s="219"/>
      <c r="F478" s="219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</row>
    <row r="479">
      <c r="A479" s="183"/>
      <c r="B479" s="183"/>
      <c r="C479" s="183"/>
      <c r="D479" s="183"/>
      <c r="E479" s="219"/>
      <c r="F479" s="219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</row>
    <row r="480">
      <c r="A480" s="183"/>
      <c r="B480" s="183"/>
      <c r="C480" s="183"/>
      <c r="D480" s="183"/>
      <c r="E480" s="219"/>
      <c r="F480" s="219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</row>
    <row r="481">
      <c r="A481" s="183"/>
      <c r="B481" s="183"/>
      <c r="C481" s="183"/>
      <c r="D481" s="183"/>
      <c r="E481" s="219"/>
      <c r="F481" s="219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</row>
    <row r="482">
      <c r="A482" s="183"/>
      <c r="B482" s="183"/>
      <c r="C482" s="183"/>
      <c r="D482" s="183"/>
      <c r="E482" s="219"/>
      <c r="F482" s="219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</row>
    <row r="483">
      <c r="A483" s="183"/>
      <c r="B483" s="183"/>
      <c r="C483" s="183"/>
      <c r="D483" s="183"/>
      <c r="E483" s="219"/>
      <c r="F483" s="219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</row>
    <row r="484">
      <c r="A484" s="183"/>
      <c r="B484" s="183"/>
      <c r="C484" s="183"/>
      <c r="D484" s="183"/>
      <c r="E484" s="219"/>
      <c r="F484" s="219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</row>
    <row r="485">
      <c r="A485" s="183"/>
      <c r="B485" s="183"/>
      <c r="C485" s="183"/>
      <c r="D485" s="183"/>
      <c r="E485" s="219"/>
      <c r="F485" s="219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</row>
    <row r="486">
      <c r="A486" s="183"/>
      <c r="B486" s="183"/>
      <c r="C486" s="183"/>
      <c r="D486" s="183"/>
      <c r="E486" s="219"/>
      <c r="F486" s="219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</row>
    <row r="487">
      <c r="A487" s="183"/>
      <c r="B487" s="183"/>
      <c r="C487" s="183"/>
      <c r="D487" s="183"/>
      <c r="E487" s="219"/>
      <c r="F487" s="219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</row>
    <row r="488">
      <c r="A488" s="183"/>
      <c r="B488" s="183"/>
      <c r="C488" s="183"/>
      <c r="D488" s="183"/>
      <c r="E488" s="219"/>
      <c r="F488" s="219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</row>
    <row r="489">
      <c r="A489" s="183"/>
      <c r="B489" s="183"/>
      <c r="C489" s="183"/>
      <c r="D489" s="183"/>
      <c r="E489" s="219"/>
      <c r="F489" s="219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</row>
    <row r="490">
      <c r="A490" s="183"/>
      <c r="B490" s="183"/>
      <c r="C490" s="183"/>
      <c r="D490" s="183"/>
      <c r="E490" s="219"/>
      <c r="F490" s="219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</row>
    <row r="491">
      <c r="A491" s="183"/>
      <c r="B491" s="183"/>
      <c r="C491" s="183"/>
      <c r="D491" s="183"/>
      <c r="E491" s="219"/>
      <c r="F491" s="219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</row>
    <row r="492">
      <c r="A492" s="183"/>
      <c r="B492" s="183"/>
      <c r="C492" s="183"/>
      <c r="D492" s="183"/>
      <c r="E492" s="219"/>
      <c r="F492" s="219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</row>
    <row r="493">
      <c r="A493" s="183"/>
      <c r="B493" s="183"/>
      <c r="C493" s="183"/>
      <c r="D493" s="183"/>
      <c r="E493" s="219"/>
      <c r="F493" s="219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</row>
    <row r="494">
      <c r="A494" s="183"/>
      <c r="B494" s="183"/>
      <c r="C494" s="183"/>
      <c r="D494" s="183"/>
      <c r="E494" s="219"/>
      <c r="F494" s="219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</row>
    <row r="495">
      <c r="A495" s="183"/>
      <c r="B495" s="183"/>
      <c r="C495" s="183"/>
      <c r="D495" s="183"/>
      <c r="E495" s="219"/>
      <c r="F495" s="219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</row>
    <row r="496">
      <c r="A496" s="183"/>
      <c r="B496" s="183"/>
      <c r="C496" s="183"/>
      <c r="D496" s="183"/>
      <c r="E496" s="219"/>
      <c r="F496" s="219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</row>
    <row r="497">
      <c r="A497" s="183"/>
      <c r="B497" s="183"/>
      <c r="C497" s="183"/>
      <c r="D497" s="183"/>
      <c r="E497" s="219"/>
      <c r="F497" s="219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</row>
    <row r="498">
      <c r="A498" s="183"/>
      <c r="B498" s="183"/>
      <c r="C498" s="183"/>
      <c r="D498" s="183"/>
      <c r="E498" s="219"/>
      <c r="F498" s="219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</row>
    <row r="499">
      <c r="A499" s="183"/>
      <c r="B499" s="183"/>
      <c r="C499" s="183"/>
      <c r="D499" s="183"/>
      <c r="E499" s="219"/>
      <c r="F499" s="219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</row>
    <row r="500">
      <c r="A500" s="183"/>
      <c r="B500" s="183"/>
      <c r="C500" s="183"/>
      <c r="D500" s="183"/>
      <c r="E500" s="219"/>
      <c r="F500" s="219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</row>
    <row r="501">
      <c r="A501" s="183"/>
      <c r="B501" s="183"/>
      <c r="C501" s="183"/>
      <c r="D501" s="183"/>
      <c r="E501" s="219"/>
      <c r="F501" s="219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</row>
    <row r="502">
      <c r="A502" s="183"/>
      <c r="B502" s="183"/>
      <c r="C502" s="183"/>
      <c r="D502" s="183"/>
      <c r="E502" s="219"/>
      <c r="F502" s="219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</row>
    <row r="503">
      <c r="A503" s="183"/>
      <c r="B503" s="183"/>
      <c r="C503" s="183"/>
      <c r="D503" s="183"/>
      <c r="E503" s="219"/>
      <c r="F503" s="219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</row>
    <row r="504">
      <c r="A504" s="183"/>
      <c r="B504" s="183"/>
      <c r="C504" s="183"/>
      <c r="D504" s="183"/>
      <c r="E504" s="219"/>
      <c r="F504" s="219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</row>
    <row r="505">
      <c r="A505" s="183"/>
      <c r="B505" s="183"/>
      <c r="C505" s="183"/>
      <c r="D505" s="183"/>
      <c r="E505" s="219"/>
      <c r="F505" s="219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</row>
    <row r="506">
      <c r="A506" s="183"/>
      <c r="B506" s="183"/>
      <c r="C506" s="183"/>
      <c r="D506" s="183"/>
      <c r="E506" s="219"/>
      <c r="F506" s="219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</row>
    <row r="507">
      <c r="A507" s="183"/>
      <c r="B507" s="183"/>
      <c r="C507" s="183"/>
      <c r="D507" s="183"/>
      <c r="E507" s="219"/>
      <c r="F507" s="219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</row>
    <row r="508">
      <c r="A508" s="183"/>
      <c r="B508" s="183"/>
      <c r="C508" s="183"/>
      <c r="D508" s="183"/>
      <c r="E508" s="219"/>
      <c r="F508" s="219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</row>
    <row r="509">
      <c r="A509" s="183"/>
      <c r="B509" s="183"/>
      <c r="C509" s="183"/>
      <c r="D509" s="183"/>
      <c r="E509" s="219"/>
      <c r="F509" s="219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</row>
    <row r="510">
      <c r="A510" s="183"/>
      <c r="B510" s="183"/>
      <c r="C510" s="183"/>
      <c r="D510" s="183"/>
      <c r="E510" s="219"/>
      <c r="F510" s="219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</row>
    <row r="511">
      <c r="A511" s="183"/>
      <c r="B511" s="183"/>
      <c r="C511" s="183"/>
      <c r="D511" s="183"/>
      <c r="E511" s="219"/>
      <c r="F511" s="219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</row>
    <row r="512">
      <c r="A512" s="183"/>
      <c r="B512" s="183"/>
      <c r="C512" s="183"/>
      <c r="D512" s="183"/>
      <c r="E512" s="219"/>
      <c r="F512" s="219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</row>
    <row r="513">
      <c r="A513" s="183"/>
      <c r="B513" s="183"/>
      <c r="C513" s="183"/>
      <c r="D513" s="183"/>
      <c r="E513" s="219"/>
      <c r="F513" s="219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</row>
    <row r="514">
      <c r="A514" s="183"/>
      <c r="B514" s="183"/>
      <c r="C514" s="183"/>
      <c r="D514" s="183"/>
      <c r="E514" s="219"/>
      <c r="F514" s="219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</row>
    <row r="515">
      <c r="A515" s="183"/>
      <c r="B515" s="183"/>
      <c r="C515" s="183"/>
      <c r="D515" s="183"/>
      <c r="E515" s="219"/>
      <c r="F515" s="219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</row>
    <row r="516">
      <c r="A516" s="183"/>
      <c r="B516" s="183"/>
      <c r="C516" s="183"/>
      <c r="D516" s="183"/>
      <c r="E516" s="219"/>
      <c r="F516" s="219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</row>
    <row r="517">
      <c r="A517" s="183"/>
      <c r="B517" s="183"/>
      <c r="C517" s="183"/>
      <c r="D517" s="183"/>
      <c r="E517" s="219"/>
      <c r="F517" s="219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</row>
    <row r="518">
      <c r="A518" s="183"/>
      <c r="B518" s="183"/>
      <c r="C518" s="183"/>
      <c r="D518" s="183"/>
      <c r="E518" s="219"/>
      <c r="F518" s="219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</row>
    <row r="519">
      <c r="A519" s="183"/>
      <c r="B519" s="183"/>
      <c r="C519" s="183"/>
      <c r="D519" s="183"/>
      <c r="E519" s="219"/>
      <c r="F519" s="219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</row>
    <row r="520">
      <c r="A520" s="183"/>
      <c r="B520" s="183"/>
      <c r="C520" s="183"/>
      <c r="D520" s="183"/>
      <c r="E520" s="219"/>
      <c r="F520" s="219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</row>
    <row r="521">
      <c r="A521" s="183"/>
      <c r="B521" s="183"/>
      <c r="C521" s="183"/>
      <c r="D521" s="183"/>
      <c r="E521" s="219"/>
      <c r="F521" s="219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</row>
    <row r="522">
      <c r="A522" s="183"/>
      <c r="B522" s="183"/>
      <c r="C522" s="183"/>
      <c r="D522" s="183"/>
      <c r="E522" s="219"/>
      <c r="F522" s="219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</row>
    <row r="523">
      <c r="A523" s="183"/>
      <c r="B523" s="183"/>
      <c r="C523" s="183"/>
      <c r="D523" s="183"/>
      <c r="E523" s="219"/>
      <c r="F523" s="219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</row>
    <row r="524">
      <c r="A524" s="183"/>
      <c r="B524" s="183"/>
      <c r="C524" s="183"/>
      <c r="D524" s="183"/>
      <c r="E524" s="219"/>
      <c r="F524" s="219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</row>
    <row r="525">
      <c r="A525" s="183"/>
      <c r="B525" s="183"/>
      <c r="C525" s="183"/>
      <c r="D525" s="183"/>
      <c r="E525" s="219"/>
      <c r="F525" s="219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</row>
    <row r="526">
      <c r="A526" s="183"/>
      <c r="B526" s="183"/>
      <c r="C526" s="183"/>
      <c r="D526" s="183"/>
      <c r="E526" s="219"/>
      <c r="F526" s="219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</row>
    <row r="527">
      <c r="A527" s="183"/>
      <c r="B527" s="183"/>
      <c r="C527" s="183"/>
      <c r="D527" s="183"/>
      <c r="E527" s="219"/>
      <c r="F527" s="219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</row>
    <row r="528">
      <c r="A528" s="183"/>
      <c r="B528" s="183"/>
      <c r="C528" s="183"/>
      <c r="D528" s="183"/>
      <c r="E528" s="219"/>
      <c r="F528" s="219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</row>
    <row r="529">
      <c r="A529" s="183"/>
      <c r="B529" s="183"/>
      <c r="C529" s="183"/>
      <c r="D529" s="183"/>
      <c r="E529" s="219"/>
      <c r="F529" s="219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</row>
    <row r="530">
      <c r="A530" s="183"/>
      <c r="B530" s="183"/>
      <c r="C530" s="183"/>
      <c r="D530" s="183"/>
      <c r="E530" s="219"/>
      <c r="F530" s="219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</row>
    <row r="531">
      <c r="A531" s="183"/>
      <c r="B531" s="183"/>
      <c r="C531" s="183"/>
      <c r="D531" s="183"/>
      <c r="E531" s="219"/>
      <c r="F531" s="219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</row>
    <row r="532">
      <c r="A532" s="183"/>
      <c r="B532" s="183"/>
      <c r="C532" s="183"/>
      <c r="D532" s="183"/>
      <c r="E532" s="219"/>
      <c r="F532" s="219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</row>
    <row r="533">
      <c r="A533" s="183"/>
      <c r="B533" s="183"/>
      <c r="C533" s="183"/>
      <c r="D533" s="183"/>
      <c r="E533" s="219"/>
      <c r="F533" s="219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</row>
    <row r="534">
      <c r="A534" s="183"/>
      <c r="B534" s="183"/>
      <c r="C534" s="183"/>
      <c r="D534" s="183"/>
      <c r="E534" s="219"/>
      <c r="F534" s="219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</row>
    <row r="535">
      <c r="A535" s="183"/>
      <c r="B535" s="183"/>
      <c r="C535" s="183"/>
      <c r="D535" s="183"/>
      <c r="E535" s="219"/>
      <c r="F535" s="219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</row>
    <row r="536">
      <c r="A536" s="183"/>
      <c r="B536" s="183"/>
      <c r="C536" s="183"/>
      <c r="D536" s="183"/>
      <c r="E536" s="219"/>
      <c r="F536" s="219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</row>
    <row r="537">
      <c r="A537" s="183"/>
      <c r="B537" s="183"/>
      <c r="C537" s="183"/>
      <c r="D537" s="183"/>
      <c r="E537" s="219"/>
      <c r="F537" s="219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</row>
    <row r="538">
      <c r="A538" s="183"/>
      <c r="B538" s="183"/>
      <c r="C538" s="183"/>
      <c r="D538" s="183"/>
      <c r="E538" s="219"/>
      <c r="F538" s="219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</row>
    <row r="539">
      <c r="A539" s="183"/>
      <c r="B539" s="183"/>
      <c r="C539" s="183"/>
      <c r="D539" s="183"/>
      <c r="E539" s="219"/>
      <c r="F539" s="219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</row>
    <row r="540">
      <c r="A540" s="183"/>
      <c r="B540" s="183"/>
      <c r="C540" s="183"/>
      <c r="D540" s="183"/>
      <c r="E540" s="219"/>
      <c r="F540" s="219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</row>
    <row r="541">
      <c r="A541" s="183"/>
      <c r="B541" s="183"/>
      <c r="C541" s="183"/>
      <c r="D541" s="183"/>
      <c r="E541" s="219"/>
      <c r="F541" s="219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</row>
    <row r="542">
      <c r="A542" s="183"/>
      <c r="B542" s="183"/>
      <c r="C542" s="183"/>
      <c r="D542" s="183"/>
      <c r="E542" s="219"/>
      <c r="F542" s="219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</row>
    <row r="543">
      <c r="A543" s="183"/>
      <c r="B543" s="183"/>
      <c r="C543" s="183"/>
      <c r="D543" s="183"/>
      <c r="E543" s="219"/>
      <c r="F543" s="219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</row>
    <row r="544">
      <c r="A544" s="183"/>
      <c r="B544" s="183"/>
      <c r="C544" s="183"/>
      <c r="D544" s="183"/>
      <c r="E544" s="219"/>
      <c r="F544" s="219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</row>
    <row r="545">
      <c r="A545" s="183"/>
      <c r="B545" s="183"/>
      <c r="C545" s="183"/>
      <c r="D545" s="183"/>
      <c r="E545" s="219"/>
      <c r="F545" s="219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</row>
    <row r="546">
      <c r="A546" s="183"/>
      <c r="B546" s="183"/>
      <c r="C546" s="183"/>
      <c r="D546" s="183"/>
      <c r="E546" s="219"/>
      <c r="F546" s="219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</row>
    <row r="547">
      <c r="A547" s="183"/>
      <c r="B547" s="183"/>
      <c r="C547" s="183"/>
      <c r="D547" s="183"/>
      <c r="E547" s="219"/>
      <c r="F547" s="219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</row>
    <row r="548">
      <c r="A548" s="183"/>
      <c r="B548" s="183"/>
      <c r="C548" s="183"/>
      <c r="D548" s="183"/>
      <c r="E548" s="219"/>
      <c r="F548" s="219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</row>
    <row r="549">
      <c r="A549" s="183"/>
      <c r="B549" s="183"/>
      <c r="C549" s="183"/>
      <c r="D549" s="183"/>
      <c r="E549" s="219"/>
      <c r="F549" s="219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</row>
    <row r="550">
      <c r="A550" s="183"/>
      <c r="B550" s="183"/>
      <c r="C550" s="183"/>
      <c r="D550" s="183"/>
      <c r="E550" s="219"/>
      <c r="F550" s="219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</row>
    <row r="551">
      <c r="A551" s="183"/>
      <c r="B551" s="183"/>
      <c r="C551" s="183"/>
      <c r="D551" s="183"/>
      <c r="E551" s="219"/>
      <c r="F551" s="219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</row>
    <row r="552">
      <c r="A552" s="183"/>
      <c r="B552" s="183"/>
      <c r="C552" s="183"/>
      <c r="D552" s="183"/>
      <c r="E552" s="219"/>
      <c r="F552" s="219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</row>
    <row r="553">
      <c r="A553" s="183"/>
      <c r="B553" s="183"/>
      <c r="C553" s="183"/>
      <c r="D553" s="183"/>
      <c r="E553" s="219"/>
      <c r="F553" s="219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</row>
    <row r="554">
      <c r="A554" s="183"/>
      <c r="B554" s="183"/>
      <c r="C554" s="183"/>
      <c r="D554" s="183"/>
      <c r="E554" s="219"/>
      <c r="F554" s="219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</row>
    <row r="555">
      <c r="A555" s="183"/>
      <c r="B555" s="183"/>
      <c r="C555" s="183"/>
      <c r="D555" s="183"/>
      <c r="E555" s="219"/>
      <c r="F555" s="219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</row>
    <row r="556">
      <c r="A556" s="183"/>
      <c r="B556" s="183"/>
      <c r="C556" s="183"/>
      <c r="D556" s="183"/>
      <c r="E556" s="219"/>
      <c r="F556" s="219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</row>
    <row r="557">
      <c r="A557" s="183"/>
      <c r="B557" s="183"/>
      <c r="C557" s="183"/>
      <c r="D557" s="183"/>
      <c r="E557" s="219"/>
      <c r="F557" s="219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</row>
    <row r="558">
      <c r="A558" s="183"/>
      <c r="B558" s="183"/>
      <c r="C558" s="183"/>
      <c r="D558" s="183"/>
      <c r="E558" s="219"/>
      <c r="F558" s="219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</row>
    <row r="559">
      <c r="A559" s="183"/>
      <c r="B559" s="183"/>
      <c r="C559" s="183"/>
      <c r="D559" s="183"/>
      <c r="E559" s="219"/>
      <c r="F559" s="219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</row>
    <row r="560">
      <c r="A560" s="183"/>
      <c r="B560" s="183"/>
      <c r="C560" s="183"/>
      <c r="D560" s="183"/>
      <c r="E560" s="219"/>
      <c r="F560" s="219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</row>
    <row r="561">
      <c r="A561" s="183"/>
      <c r="B561" s="183"/>
      <c r="C561" s="183"/>
      <c r="D561" s="183"/>
      <c r="E561" s="219"/>
      <c r="F561" s="219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</row>
    <row r="562">
      <c r="A562" s="183"/>
      <c r="B562" s="183"/>
      <c r="C562" s="183"/>
      <c r="D562" s="183"/>
      <c r="E562" s="219"/>
      <c r="F562" s="219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</row>
    <row r="563">
      <c r="A563" s="183"/>
      <c r="B563" s="183"/>
      <c r="C563" s="183"/>
      <c r="D563" s="183"/>
      <c r="E563" s="219"/>
      <c r="F563" s="219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</row>
    <row r="564">
      <c r="A564" s="183"/>
      <c r="B564" s="183"/>
      <c r="C564" s="183"/>
      <c r="D564" s="183"/>
      <c r="E564" s="219"/>
      <c r="F564" s="219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</row>
    <row r="565">
      <c r="A565" s="183"/>
      <c r="B565" s="183"/>
      <c r="C565" s="183"/>
      <c r="D565" s="183"/>
      <c r="E565" s="219"/>
      <c r="F565" s="219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</row>
    <row r="566">
      <c r="A566" s="183"/>
      <c r="B566" s="183"/>
      <c r="C566" s="183"/>
      <c r="D566" s="183"/>
      <c r="E566" s="219"/>
      <c r="F566" s="219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</row>
    <row r="567">
      <c r="A567" s="183"/>
      <c r="B567" s="183"/>
      <c r="C567" s="183"/>
      <c r="D567" s="183"/>
      <c r="E567" s="219"/>
      <c r="F567" s="219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</row>
    <row r="568">
      <c r="A568" s="183"/>
      <c r="B568" s="183"/>
      <c r="C568" s="183"/>
      <c r="D568" s="183"/>
      <c r="E568" s="219"/>
      <c r="F568" s="219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</row>
    <row r="569">
      <c r="A569" s="183"/>
      <c r="B569" s="183"/>
      <c r="C569" s="183"/>
      <c r="D569" s="183"/>
      <c r="E569" s="219"/>
      <c r="F569" s="219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</row>
    <row r="570">
      <c r="A570" s="183"/>
      <c r="B570" s="183"/>
      <c r="C570" s="183"/>
      <c r="D570" s="183"/>
      <c r="E570" s="219"/>
      <c r="F570" s="219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</row>
    <row r="571">
      <c r="A571" s="183"/>
      <c r="B571" s="183"/>
      <c r="C571" s="183"/>
      <c r="D571" s="183"/>
      <c r="E571" s="219"/>
      <c r="F571" s="219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</row>
    <row r="572">
      <c r="A572" s="183"/>
      <c r="B572" s="183"/>
      <c r="C572" s="183"/>
      <c r="D572" s="183"/>
      <c r="E572" s="219"/>
      <c r="F572" s="219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</row>
    <row r="573">
      <c r="A573" s="183"/>
      <c r="B573" s="183"/>
      <c r="C573" s="183"/>
      <c r="D573" s="183"/>
      <c r="E573" s="219"/>
      <c r="F573" s="219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</row>
    <row r="574">
      <c r="A574" s="183"/>
      <c r="B574" s="183"/>
      <c r="C574" s="183"/>
      <c r="D574" s="183"/>
      <c r="E574" s="219"/>
      <c r="F574" s="219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</row>
    <row r="575">
      <c r="A575" s="183"/>
      <c r="B575" s="183"/>
      <c r="C575" s="183"/>
      <c r="D575" s="183"/>
      <c r="E575" s="219"/>
      <c r="F575" s="219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</row>
    <row r="576">
      <c r="A576" s="183"/>
      <c r="B576" s="183"/>
      <c r="C576" s="183"/>
      <c r="D576" s="183"/>
      <c r="E576" s="219"/>
      <c r="F576" s="219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</row>
    <row r="577">
      <c r="A577" s="183"/>
      <c r="B577" s="183"/>
      <c r="C577" s="183"/>
      <c r="D577" s="183"/>
      <c r="E577" s="219"/>
      <c r="F577" s="219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</row>
    <row r="578">
      <c r="A578" s="183"/>
      <c r="B578" s="183"/>
      <c r="C578" s="183"/>
      <c r="D578" s="183"/>
      <c r="E578" s="219"/>
      <c r="F578" s="219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</row>
    <row r="579">
      <c r="A579" s="183"/>
      <c r="B579" s="183"/>
      <c r="C579" s="183"/>
      <c r="D579" s="183"/>
      <c r="E579" s="219"/>
      <c r="F579" s="219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</row>
    <row r="580">
      <c r="A580" s="183"/>
      <c r="B580" s="183"/>
      <c r="C580" s="183"/>
      <c r="D580" s="183"/>
      <c r="E580" s="219"/>
      <c r="F580" s="219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</row>
    <row r="581">
      <c r="A581" s="183"/>
      <c r="B581" s="183"/>
      <c r="C581" s="183"/>
      <c r="D581" s="183"/>
      <c r="E581" s="219"/>
      <c r="F581" s="219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</row>
    <row r="582">
      <c r="A582" s="183"/>
      <c r="B582" s="183"/>
      <c r="C582" s="183"/>
      <c r="D582" s="183"/>
      <c r="E582" s="219"/>
      <c r="F582" s="219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</row>
    <row r="583">
      <c r="A583" s="183"/>
      <c r="B583" s="183"/>
      <c r="C583" s="183"/>
      <c r="D583" s="183"/>
      <c r="E583" s="219"/>
      <c r="F583" s="219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</row>
    <row r="584">
      <c r="A584" s="183"/>
      <c r="B584" s="183"/>
      <c r="C584" s="183"/>
      <c r="D584" s="183"/>
      <c r="E584" s="219"/>
      <c r="F584" s="219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</row>
    <row r="585">
      <c r="A585" s="183"/>
      <c r="B585" s="183"/>
      <c r="C585" s="183"/>
      <c r="D585" s="183"/>
      <c r="E585" s="219"/>
      <c r="F585" s="219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</row>
    <row r="586">
      <c r="A586" s="183"/>
      <c r="B586" s="183"/>
      <c r="C586" s="183"/>
      <c r="D586" s="183"/>
      <c r="E586" s="219"/>
      <c r="F586" s="219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</row>
    <row r="587">
      <c r="A587" s="183"/>
      <c r="B587" s="183"/>
      <c r="C587" s="183"/>
      <c r="D587" s="183"/>
      <c r="E587" s="219"/>
      <c r="F587" s="219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</row>
    <row r="588">
      <c r="A588" s="183"/>
      <c r="B588" s="183"/>
      <c r="C588" s="183"/>
      <c r="D588" s="183"/>
      <c r="E588" s="219"/>
      <c r="F588" s="219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</row>
    <row r="589">
      <c r="A589" s="183"/>
      <c r="B589" s="183"/>
      <c r="C589" s="183"/>
      <c r="D589" s="183"/>
      <c r="E589" s="219"/>
      <c r="F589" s="219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</row>
    <row r="590">
      <c r="A590" s="183"/>
      <c r="B590" s="183"/>
      <c r="C590" s="183"/>
      <c r="D590" s="183"/>
      <c r="E590" s="219"/>
      <c r="F590" s="219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</row>
    <row r="591">
      <c r="A591" s="183"/>
      <c r="B591" s="183"/>
      <c r="C591" s="183"/>
      <c r="D591" s="183"/>
      <c r="E591" s="219"/>
      <c r="F591" s="219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</row>
    <row r="592">
      <c r="A592" s="183"/>
      <c r="B592" s="183"/>
      <c r="C592" s="183"/>
      <c r="D592" s="183"/>
      <c r="E592" s="219"/>
      <c r="F592" s="219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</row>
    <row r="593">
      <c r="A593" s="183"/>
      <c r="B593" s="183"/>
      <c r="C593" s="183"/>
      <c r="D593" s="183"/>
      <c r="E593" s="219"/>
      <c r="F593" s="219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</row>
    <row r="594">
      <c r="A594" s="183"/>
      <c r="B594" s="183"/>
      <c r="C594" s="183"/>
      <c r="D594" s="183"/>
      <c r="E594" s="219"/>
      <c r="F594" s="219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</row>
    <row r="595">
      <c r="A595" s="183"/>
      <c r="B595" s="183"/>
      <c r="C595" s="183"/>
      <c r="D595" s="183"/>
      <c r="E595" s="219"/>
      <c r="F595" s="219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</row>
    <row r="596">
      <c r="A596" s="183"/>
      <c r="B596" s="183"/>
      <c r="C596" s="183"/>
      <c r="D596" s="183"/>
      <c r="E596" s="219"/>
      <c r="F596" s="219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</row>
    <row r="597">
      <c r="A597" s="183"/>
      <c r="B597" s="183"/>
      <c r="C597" s="183"/>
      <c r="D597" s="183"/>
      <c r="E597" s="219"/>
      <c r="F597" s="219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</row>
    <row r="598">
      <c r="A598" s="183"/>
      <c r="B598" s="183"/>
      <c r="C598" s="183"/>
      <c r="D598" s="183"/>
      <c r="E598" s="219"/>
      <c r="F598" s="219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</row>
    <row r="599">
      <c r="A599" s="183"/>
      <c r="B599" s="183"/>
      <c r="C599" s="183"/>
      <c r="D599" s="183"/>
      <c r="E599" s="219"/>
      <c r="F599" s="219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</row>
    <row r="600">
      <c r="A600" s="183"/>
      <c r="B600" s="183"/>
      <c r="C600" s="183"/>
      <c r="D600" s="183"/>
      <c r="E600" s="219"/>
      <c r="F600" s="219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</row>
    <row r="601">
      <c r="A601" s="183"/>
      <c r="B601" s="183"/>
      <c r="C601" s="183"/>
      <c r="D601" s="183"/>
      <c r="E601" s="219"/>
      <c r="F601" s="219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</row>
    <row r="602">
      <c r="A602" s="183"/>
      <c r="B602" s="183"/>
      <c r="C602" s="183"/>
      <c r="D602" s="183"/>
      <c r="E602" s="219"/>
      <c r="F602" s="219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</row>
    <row r="603">
      <c r="A603" s="183"/>
      <c r="B603" s="183"/>
      <c r="C603" s="183"/>
      <c r="D603" s="183"/>
      <c r="E603" s="219"/>
      <c r="F603" s="219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</row>
    <row r="604">
      <c r="A604" s="183"/>
      <c r="B604" s="183"/>
      <c r="C604" s="183"/>
      <c r="D604" s="183"/>
      <c r="E604" s="219"/>
      <c r="F604" s="219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</row>
    <row r="605">
      <c r="A605" s="183"/>
      <c r="B605" s="183"/>
      <c r="C605" s="183"/>
      <c r="D605" s="183"/>
      <c r="E605" s="219"/>
      <c r="F605" s="219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</row>
    <row r="606">
      <c r="A606" s="183"/>
      <c r="B606" s="183"/>
      <c r="C606" s="183"/>
      <c r="D606" s="183"/>
      <c r="E606" s="219"/>
      <c r="F606" s="219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</row>
    <row r="607">
      <c r="A607" s="183"/>
      <c r="B607" s="183"/>
      <c r="C607" s="183"/>
      <c r="D607" s="183"/>
      <c r="E607" s="219"/>
      <c r="F607" s="219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</row>
    <row r="608">
      <c r="A608" s="183"/>
      <c r="B608" s="183"/>
      <c r="C608" s="183"/>
      <c r="D608" s="183"/>
      <c r="E608" s="219"/>
      <c r="F608" s="219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</row>
    <row r="609">
      <c r="A609" s="183"/>
      <c r="B609" s="183"/>
      <c r="C609" s="183"/>
      <c r="D609" s="183"/>
      <c r="E609" s="219"/>
      <c r="F609" s="219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</row>
    <row r="610">
      <c r="A610" s="183"/>
      <c r="B610" s="183"/>
      <c r="C610" s="183"/>
      <c r="D610" s="183"/>
      <c r="E610" s="219"/>
      <c r="F610" s="219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</row>
    <row r="611">
      <c r="A611" s="183"/>
      <c r="B611" s="183"/>
      <c r="C611" s="183"/>
      <c r="D611" s="183"/>
      <c r="E611" s="219"/>
      <c r="F611" s="219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</row>
    <row r="612">
      <c r="A612" s="183"/>
      <c r="B612" s="183"/>
      <c r="C612" s="183"/>
      <c r="D612" s="183"/>
      <c r="E612" s="219"/>
      <c r="F612" s="219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</row>
    <row r="613">
      <c r="A613" s="183"/>
      <c r="B613" s="183"/>
      <c r="C613" s="183"/>
      <c r="D613" s="183"/>
      <c r="E613" s="219"/>
      <c r="F613" s="219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</row>
    <row r="614">
      <c r="A614" s="183"/>
      <c r="B614" s="183"/>
      <c r="C614" s="183"/>
      <c r="D614" s="183"/>
      <c r="E614" s="219"/>
      <c r="F614" s="219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</row>
    <row r="615">
      <c r="A615" s="183"/>
      <c r="B615" s="183"/>
      <c r="C615" s="183"/>
      <c r="D615" s="183"/>
      <c r="E615" s="219"/>
      <c r="F615" s="219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</row>
    <row r="616">
      <c r="A616" s="183"/>
      <c r="B616" s="183"/>
      <c r="C616" s="183"/>
      <c r="D616" s="183"/>
      <c r="E616" s="219"/>
      <c r="F616" s="219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</row>
    <row r="617">
      <c r="A617" s="183"/>
      <c r="B617" s="183"/>
      <c r="C617" s="183"/>
      <c r="D617" s="183"/>
      <c r="E617" s="219"/>
      <c r="F617" s="219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</row>
    <row r="618">
      <c r="A618" s="183"/>
      <c r="B618" s="183"/>
      <c r="C618" s="183"/>
      <c r="D618" s="183"/>
      <c r="E618" s="219"/>
      <c r="F618" s="219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</row>
    <row r="619">
      <c r="A619" s="183"/>
      <c r="B619" s="183"/>
      <c r="C619" s="183"/>
      <c r="D619" s="183"/>
      <c r="E619" s="219"/>
      <c r="F619" s="219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</row>
    <row r="620">
      <c r="A620" s="183"/>
      <c r="B620" s="183"/>
      <c r="C620" s="183"/>
      <c r="D620" s="183"/>
      <c r="E620" s="219"/>
      <c r="F620" s="219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</row>
    <row r="621">
      <c r="A621" s="183"/>
      <c r="B621" s="183"/>
      <c r="C621" s="183"/>
      <c r="D621" s="183"/>
      <c r="E621" s="219"/>
      <c r="F621" s="219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</row>
    <row r="622">
      <c r="A622" s="183"/>
      <c r="B622" s="183"/>
      <c r="C622" s="183"/>
      <c r="D622" s="183"/>
      <c r="E622" s="219"/>
      <c r="F622" s="219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</row>
    <row r="623">
      <c r="A623" s="183"/>
      <c r="B623" s="183"/>
      <c r="C623" s="183"/>
      <c r="D623" s="183"/>
      <c r="E623" s="219"/>
      <c r="F623" s="219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</row>
    <row r="624">
      <c r="A624" s="183"/>
      <c r="B624" s="183"/>
      <c r="C624" s="183"/>
      <c r="D624" s="183"/>
      <c r="E624" s="219"/>
      <c r="F624" s="219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</row>
    <row r="625">
      <c r="A625" s="183"/>
      <c r="B625" s="183"/>
      <c r="C625" s="183"/>
      <c r="D625" s="183"/>
      <c r="E625" s="219"/>
      <c r="F625" s="219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</row>
    <row r="626">
      <c r="A626" s="183"/>
      <c r="B626" s="183"/>
      <c r="C626" s="183"/>
      <c r="D626" s="183"/>
      <c r="E626" s="219"/>
      <c r="F626" s="219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</row>
    <row r="627">
      <c r="A627" s="183"/>
      <c r="B627" s="183"/>
      <c r="C627" s="183"/>
      <c r="D627" s="183"/>
      <c r="E627" s="219"/>
      <c r="F627" s="219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</row>
    <row r="628">
      <c r="A628" s="183"/>
      <c r="B628" s="183"/>
      <c r="C628" s="183"/>
      <c r="D628" s="183"/>
      <c r="E628" s="219"/>
      <c r="F628" s="219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</row>
    <row r="629">
      <c r="A629" s="183"/>
      <c r="B629" s="183"/>
      <c r="C629" s="183"/>
      <c r="D629" s="183"/>
      <c r="E629" s="219"/>
      <c r="F629" s="219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</row>
    <row r="630">
      <c r="A630" s="183"/>
      <c r="B630" s="183"/>
      <c r="C630" s="183"/>
      <c r="D630" s="183"/>
      <c r="E630" s="219"/>
      <c r="F630" s="219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</row>
    <row r="631">
      <c r="A631" s="183"/>
      <c r="B631" s="183"/>
      <c r="C631" s="183"/>
      <c r="D631" s="183"/>
      <c r="E631" s="219"/>
      <c r="F631" s="219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</row>
    <row r="632">
      <c r="A632" s="183"/>
      <c r="B632" s="183"/>
      <c r="C632" s="183"/>
      <c r="D632" s="183"/>
      <c r="E632" s="219"/>
      <c r="F632" s="219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</row>
    <row r="633">
      <c r="A633" s="183"/>
      <c r="B633" s="183"/>
      <c r="C633" s="183"/>
      <c r="D633" s="183"/>
      <c r="E633" s="219"/>
      <c r="F633" s="219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</row>
    <row r="634">
      <c r="A634" s="183"/>
      <c r="B634" s="183"/>
      <c r="C634" s="183"/>
      <c r="D634" s="183"/>
      <c r="E634" s="219"/>
      <c r="F634" s="219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</row>
    <row r="635">
      <c r="A635" s="183"/>
      <c r="B635" s="183"/>
      <c r="C635" s="183"/>
      <c r="D635" s="183"/>
      <c r="E635" s="219"/>
      <c r="F635" s="219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</row>
    <row r="636">
      <c r="A636" s="183"/>
      <c r="B636" s="183"/>
      <c r="C636" s="183"/>
      <c r="D636" s="183"/>
      <c r="E636" s="219"/>
      <c r="F636" s="219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</row>
    <row r="637">
      <c r="A637" s="183"/>
      <c r="B637" s="183"/>
      <c r="C637" s="183"/>
      <c r="D637" s="183"/>
      <c r="E637" s="219"/>
      <c r="F637" s="219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</row>
    <row r="638">
      <c r="A638" s="183"/>
      <c r="B638" s="183"/>
      <c r="C638" s="183"/>
      <c r="D638" s="183"/>
      <c r="E638" s="219"/>
      <c r="F638" s="219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</row>
    <row r="639">
      <c r="A639" s="183"/>
      <c r="B639" s="183"/>
      <c r="C639" s="183"/>
      <c r="D639" s="183"/>
      <c r="E639" s="219"/>
      <c r="F639" s="219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</row>
    <row r="640">
      <c r="A640" s="183"/>
      <c r="B640" s="183"/>
      <c r="C640" s="183"/>
      <c r="D640" s="183"/>
      <c r="E640" s="219"/>
      <c r="F640" s="219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</row>
    <row r="641">
      <c r="A641" s="183"/>
      <c r="B641" s="183"/>
      <c r="C641" s="183"/>
      <c r="D641" s="183"/>
      <c r="E641" s="219"/>
      <c r="F641" s="219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</row>
    <row r="642">
      <c r="A642" s="183"/>
      <c r="B642" s="183"/>
      <c r="C642" s="183"/>
      <c r="D642" s="183"/>
      <c r="E642" s="219"/>
      <c r="F642" s="219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</row>
    <row r="643">
      <c r="A643" s="183"/>
      <c r="B643" s="183"/>
      <c r="C643" s="183"/>
      <c r="D643" s="183"/>
      <c r="E643" s="219"/>
      <c r="F643" s="219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</row>
    <row r="644">
      <c r="A644" s="183"/>
      <c r="B644" s="183"/>
      <c r="C644" s="183"/>
      <c r="D644" s="183"/>
      <c r="E644" s="219"/>
      <c r="F644" s="219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</row>
    <row r="645">
      <c r="A645" s="183"/>
      <c r="B645" s="183"/>
      <c r="C645" s="183"/>
      <c r="D645" s="183"/>
      <c r="E645" s="219"/>
      <c r="F645" s="219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</row>
    <row r="646">
      <c r="A646" s="183"/>
      <c r="B646" s="183"/>
      <c r="C646" s="183"/>
      <c r="D646" s="183"/>
      <c r="E646" s="219"/>
      <c r="F646" s="219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</row>
    <row r="647">
      <c r="A647" s="183"/>
      <c r="B647" s="183"/>
      <c r="C647" s="183"/>
      <c r="D647" s="183"/>
      <c r="E647" s="219"/>
      <c r="F647" s="219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</row>
    <row r="648">
      <c r="A648" s="183"/>
      <c r="B648" s="183"/>
      <c r="C648" s="183"/>
      <c r="D648" s="183"/>
      <c r="E648" s="219"/>
      <c r="F648" s="219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</row>
    <row r="649">
      <c r="A649" s="183"/>
      <c r="B649" s="183"/>
      <c r="C649" s="183"/>
      <c r="D649" s="183"/>
      <c r="E649" s="219"/>
      <c r="F649" s="219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</row>
    <row r="650">
      <c r="A650" s="183"/>
      <c r="B650" s="183"/>
      <c r="C650" s="183"/>
      <c r="D650" s="183"/>
      <c r="E650" s="219"/>
      <c r="F650" s="219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</row>
    <row r="651">
      <c r="A651" s="183"/>
      <c r="B651" s="183"/>
      <c r="C651" s="183"/>
      <c r="D651" s="183"/>
      <c r="E651" s="219"/>
      <c r="F651" s="219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</row>
    <row r="652">
      <c r="A652" s="183"/>
      <c r="B652" s="183"/>
      <c r="C652" s="183"/>
      <c r="D652" s="183"/>
      <c r="E652" s="219"/>
      <c r="F652" s="219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</row>
    <row r="653">
      <c r="A653" s="183"/>
      <c r="B653" s="183"/>
      <c r="C653" s="183"/>
      <c r="D653" s="183"/>
      <c r="E653" s="219"/>
      <c r="F653" s="219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</row>
    <row r="654">
      <c r="A654" s="183"/>
      <c r="B654" s="183"/>
      <c r="C654" s="183"/>
      <c r="D654" s="183"/>
      <c r="E654" s="219"/>
      <c r="F654" s="219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</row>
    <row r="655">
      <c r="A655" s="183"/>
      <c r="B655" s="183"/>
      <c r="C655" s="183"/>
      <c r="D655" s="183"/>
      <c r="E655" s="219"/>
      <c r="F655" s="219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</row>
    <row r="656">
      <c r="A656" s="183"/>
      <c r="B656" s="183"/>
      <c r="C656" s="183"/>
      <c r="D656" s="183"/>
      <c r="E656" s="219"/>
      <c r="F656" s="219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</row>
    <row r="657">
      <c r="A657" s="183"/>
      <c r="B657" s="183"/>
      <c r="C657" s="183"/>
      <c r="D657" s="183"/>
      <c r="E657" s="219"/>
      <c r="F657" s="219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</row>
    <row r="658">
      <c r="A658" s="183"/>
      <c r="B658" s="183"/>
      <c r="C658" s="183"/>
      <c r="D658" s="183"/>
      <c r="E658" s="219"/>
      <c r="F658" s="219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</row>
    <row r="659">
      <c r="A659" s="183"/>
      <c r="B659" s="183"/>
      <c r="C659" s="183"/>
      <c r="D659" s="183"/>
      <c r="E659" s="219"/>
      <c r="F659" s="219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</row>
    <row r="660">
      <c r="A660" s="183"/>
      <c r="B660" s="183"/>
      <c r="C660" s="183"/>
      <c r="D660" s="183"/>
      <c r="E660" s="219"/>
      <c r="F660" s="219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</row>
    <row r="661">
      <c r="A661" s="183"/>
      <c r="B661" s="183"/>
      <c r="C661" s="183"/>
      <c r="D661" s="183"/>
      <c r="E661" s="219"/>
      <c r="F661" s="219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</row>
    <row r="662">
      <c r="A662" s="183"/>
      <c r="B662" s="183"/>
      <c r="C662" s="183"/>
      <c r="D662" s="183"/>
      <c r="E662" s="219"/>
      <c r="F662" s="219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</row>
    <row r="663">
      <c r="A663" s="183"/>
      <c r="B663" s="183"/>
      <c r="C663" s="183"/>
      <c r="D663" s="183"/>
      <c r="E663" s="219"/>
      <c r="F663" s="219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</row>
    <row r="664">
      <c r="A664" s="183"/>
      <c r="B664" s="183"/>
      <c r="C664" s="183"/>
      <c r="D664" s="183"/>
      <c r="E664" s="219"/>
      <c r="F664" s="219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</row>
    <row r="665">
      <c r="A665" s="183"/>
      <c r="B665" s="183"/>
      <c r="C665" s="183"/>
      <c r="D665" s="183"/>
      <c r="E665" s="219"/>
      <c r="F665" s="219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</row>
    <row r="666">
      <c r="A666" s="183"/>
      <c r="B666" s="183"/>
      <c r="C666" s="183"/>
      <c r="D666" s="183"/>
      <c r="E666" s="219"/>
      <c r="F666" s="219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</row>
    <row r="667">
      <c r="A667" s="183"/>
      <c r="B667" s="183"/>
      <c r="C667" s="183"/>
      <c r="D667" s="183"/>
      <c r="E667" s="219"/>
      <c r="F667" s="219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</row>
    <row r="668">
      <c r="A668" s="183"/>
      <c r="B668" s="183"/>
      <c r="C668" s="183"/>
      <c r="D668" s="183"/>
      <c r="E668" s="219"/>
      <c r="F668" s="219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</row>
    <row r="669">
      <c r="A669" s="183"/>
      <c r="B669" s="183"/>
      <c r="C669" s="183"/>
      <c r="D669" s="183"/>
      <c r="E669" s="219"/>
      <c r="F669" s="219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</row>
    <row r="670">
      <c r="A670" s="183"/>
      <c r="B670" s="183"/>
      <c r="C670" s="183"/>
      <c r="D670" s="183"/>
      <c r="E670" s="219"/>
      <c r="F670" s="219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</row>
    <row r="671">
      <c r="A671" s="183"/>
      <c r="B671" s="183"/>
      <c r="C671" s="183"/>
      <c r="D671" s="183"/>
      <c r="E671" s="219"/>
      <c r="F671" s="219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</row>
    <row r="672">
      <c r="A672" s="183"/>
      <c r="B672" s="183"/>
      <c r="C672" s="183"/>
      <c r="D672" s="183"/>
      <c r="E672" s="219"/>
      <c r="F672" s="219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</row>
    <row r="673">
      <c r="A673" s="183"/>
      <c r="B673" s="183"/>
      <c r="C673" s="183"/>
      <c r="D673" s="183"/>
      <c r="E673" s="219"/>
      <c r="F673" s="219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</row>
    <row r="674">
      <c r="A674" s="183"/>
      <c r="B674" s="183"/>
      <c r="C674" s="183"/>
      <c r="D674" s="183"/>
      <c r="E674" s="219"/>
      <c r="F674" s="219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</row>
    <row r="675">
      <c r="A675" s="183"/>
      <c r="B675" s="183"/>
      <c r="C675" s="183"/>
      <c r="D675" s="183"/>
      <c r="E675" s="219"/>
      <c r="F675" s="219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</row>
    <row r="676">
      <c r="A676" s="183"/>
      <c r="B676" s="183"/>
      <c r="C676" s="183"/>
      <c r="D676" s="183"/>
      <c r="E676" s="219"/>
      <c r="F676" s="219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</row>
    <row r="677">
      <c r="A677" s="183"/>
      <c r="B677" s="183"/>
      <c r="C677" s="183"/>
      <c r="D677" s="183"/>
      <c r="E677" s="219"/>
      <c r="F677" s="219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</row>
    <row r="678">
      <c r="A678" s="183"/>
      <c r="B678" s="183"/>
      <c r="C678" s="183"/>
      <c r="D678" s="183"/>
      <c r="E678" s="219"/>
      <c r="F678" s="219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</row>
    <row r="679">
      <c r="A679" s="183"/>
      <c r="B679" s="183"/>
      <c r="C679" s="183"/>
      <c r="D679" s="183"/>
      <c r="E679" s="219"/>
      <c r="F679" s="219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</row>
    <row r="680">
      <c r="A680" s="183"/>
      <c r="B680" s="183"/>
      <c r="C680" s="183"/>
      <c r="D680" s="183"/>
      <c r="E680" s="219"/>
      <c r="F680" s="219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</row>
    <row r="681">
      <c r="A681" s="183"/>
      <c r="B681" s="183"/>
      <c r="C681" s="183"/>
      <c r="D681" s="183"/>
      <c r="E681" s="219"/>
      <c r="F681" s="219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</row>
    <row r="682">
      <c r="A682" s="183"/>
      <c r="B682" s="183"/>
      <c r="C682" s="183"/>
      <c r="D682" s="183"/>
      <c r="E682" s="219"/>
      <c r="F682" s="219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</row>
    <row r="683">
      <c r="A683" s="183"/>
      <c r="B683" s="183"/>
      <c r="C683" s="183"/>
      <c r="D683" s="183"/>
      <c r="E683" s="219"/>
      <c r="F683" s="219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</row>
    <row r="684">
      <c r="A684" s="183"/>
      <c r="B684" s="183"/>
      <c r="C684" s="183"/>
      <c r="D684" s="183"/>
      <c r="E684" s="219"/>
      <c r="F684" s="219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</row>
    <row r="685">
      <c r="A685" s="183"/>
      <c r="B685" s="183"/>
      <c r="C685" s="183"/>
      <c r="D685" s="183"/>
      <c r="E685" s="219"/>
      <c r="F685" s="219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</row>
    <row r="686">
      <c r="A686" s="183"/>
      <c r="B686" s="183"/>
      <c r="C686" s="183"/>
      <c r="D686" s="183"/>
      <c r="E686" s="219"/>
      <c r="F686" s="219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</row>
    <row r="687">
      <c r="A687" s="183"/>
      <c r="B687" s="183"/>
      <c r="C687" s="183"/>
      <c r="D687" s="183"/>
      <c r="E687" s="219"/>
      <c r="F687" s="219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</row>
    <row r="688">
      <c r="A688" s="183"/>
      <c r="B688" s="183"/>
      <c r="C688" s="183"/>
      <c r="D688" s="183"/>
      <c r="E688" s="219"/>
      <c r="F688" s="219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</row>
    <row r="689">
      <c r="A689" s="183"/>
      <c r="B689" s="183"/>
      <c r="C689" s="183"/>
      <c r="D689" s="183"/>
      <c r="E689" s="219"/>
      <c r="F689" s="219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</row>
    <row r="690">
      <c r="A690" s="183"/>
      <c r="B690" s="183"/>
      <c r="C690" s="183"/>
      <c r="D690" s="183"/>
      <c r="E690" s="219"/>
      <c r="F690" s="219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</row>
    <row r="691">
      <c r="A691" s="183"/>
      <c r="B691" s="183"/>
      <c r="C691" s="183"/>
      <c r="D691" s="183"/>
      <c r="E691" s="219"/>
      <c r="F691" s="219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</row>
    <row r="692">
      <c r="A692" s="183"/>
      <c r="B692" s="183"/>
      <c r="C692" s="183"/>
      <c r="D692" s="183"/>
      <c r="E692" s="219"/>
      <c r="F692" s="219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</row>
    <row r="693">
      <c r="A693" s="183"/>
      <c r="B693" s="183"/>
      <c r="C693" s="183"/>
      <c r="D693" s="183"/>
      <c r="E693" s="219"/>
      <c r="F693" s="219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</row>
    <row r="694">
      <c r="A694" s="183"/>
      <c r="B694" s="183"/>
      <c r="C694" s="183"/>
      <c r="D694" s="183"/>
      <c r="E694" s="219"/>
      <c r="F694" s="219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</row>
    <row r="695">
      <c r="A695" s="183"/>
      <c r="B695" s="183"/>
      <c r="C695" s="183"/>
      <c r="D695" s="183"/>
      <c r="E695" s="219"/>
      <c r="F695" s="219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</row>
    <row r="696">
      <c r="A696" s="183"/>
      <c r="B696" s="183"/>
      <c r="C696" s="183"/>
      <c r="D696" s="183"/>
      <c r="E696" s="219"/>
      <c r="F696" s="219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</row>
    <row r="697">
      <c r="A697" s="183"/>
      <c r="B697" s="183"/>
      <c r="C697" s="183"/>
      <c r="D697" s="183"/>
      <c r="E697" s="219"/>
      <c r="F697" s="219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</row>
    <row r="698">
      <c r="A698" s="183"/>
      <c r="B698" s="183"/>
      <c r="C698" s="183"/>
      <c r="D698" s="183"/>
      <c r="E698" s="219"/>
      <c r="F698" s="219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</row>
    <row r="699">
      <c r="A699" s="183"/>
      <c r="B699" s="183"/>
      <c r="C699" s="183"/>
      <c r="D699" s="183"/>
      <c r="E699" s="219"/>
      <c r="F699" s="219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</row>
    <row r="700">
      <c r="A700" s="183"/>
      <c r="B700" s="183"/>
      <c r="C700" s="183"/>
      <c r="D700" s="183"/>
      <c r="E700" s="219"/>
      <c r="F700" s="219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</row>
    <row r="701">
      <c r="A701" s="183"/>
      <c r="B701" s="183"/>
      <c r="C701" s="183"/>
      <c r="D701" s="183"/>
      <c r="E701" s="219"/>
      <c r="F701" s="219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</row>
    <row r="702">
      <c r="A702" s="183"/>
      <c r="B702" s="183"/>
      <c r="C702" s="183"/>
      <c r="D702" s="183"/>
      <c r="E702" s="219"/>
      <c r="F702" s="219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</row>
    <row r="703">
      <c r="A703" s="183"/>
      <c r="B703" s="183"/>
      <c r="C703" s="183"/>
      <c r="D703" s="183"/>
      <c r="E703" s="219"/>
      <c r="F703" s="219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</row>
    <row r="704">
      <c r="A704" s="183"/>
      <c r="B704" s="183"/>
      <c r="C704" s="183"/>
      <c r="D704" s="183"/>
      <c r="E704" s="219"/>
      <c r="F704" s="219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</row>
    <row r="705">
      <c r="A705" s="183"/>
      <c r="B705" s="183"/>
      <c r="C705" s="183"/>
      <c r="D705" s="183"/>
      <c r="E705" s="219"/>
      <c r="F705" s="219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</row>
    <row r="706">
      <c r="A706" s="183"/>
      <c r="B706" s="183"/>
      <c r="C706" s="183"/>
      <c r="D706" s="183"/>
      <c r="E706" s="219"/>
      <c r="F706" s="219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</row>
    <row r="707">
      <c r="A707" s="183"/>
      <c r="B707" s="183"/>
      <c r="C707" s="183"/>
      <c r="D707" s="183"/>
      <c r="E707" s="219"/>
      <c r="F707" s="219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</row>
    <row r="708">
      <c r="A708" s="183"/>
      <c r="B708" s="183"/>
      <c r="C708" s="183"/>
      <c r="D708" s="183"/>
      <c r="E708" s="219"/>
      <c r="F708" s="219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</row>
    <row r="709">
      <c r="A709" s="183"/>
      <c r="B709" s="183"/>
      <c r="C709" s="183"/>
      <c r="D709" s="183"/>
      <c r="E709" s="219"/>
      <c r="F709" s="219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</row>
    <row r="710">
      <c r="A710" s="183"/>
      <c r="B710" s="183"/>
      <c r="C710" s="183"/>
      <c r="D710" s="183"/>
      <c r="E710" s="219"/>
      <c r="F710" s="219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</row>
    <row r="711">
      <c r="A711" s="183"/>
      <c r="B711" s="183"/>
      <c r="C711" s="183"/>
      <c r="D711" s="183"/>
      <c r="E711" s="219"/>
      <c r="F711" s="219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</row>
    <row r="712">
      <c r="A712" s="183"/>
      <c r="B712" s="183"/>
      <c r="C712" s="183"/>
      <c r="D712" s="183"/>
      <c r="E712" s="219"/>
      <c r="F712" s="219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</row>
    <row r="713">
      <c r="A713" s="183"/>
      <c r="B713" s="183"/>
      <c r="C713" s="183"/>
      <c r="D713" s="183"/>
      <c r="E713" s="219"/>
      <c r="F713" s="219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</row>
    <row r="714">
      <c r="A714" s="183"/>
      <c r="B714" s="183"/>
      <c r="C714" s="183"/>
      <c r="D714" s="183"/>
      <c r="E714" s="219"/>
      <c r="F714" s="219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</row>
    <row r="715">
      <c r="A715" s="183"/>
      <c r="B715" s="183"/>
      <c r="C715" s="183"/>
      <c r="D715" s="183"/>
      <c r="E715" s="219"/>
      <c r="F715" s="219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</row>
    <row r="716">
      <c r="A716" s="183"/>
      <c r="B716" s="183"/>
      <c r="C716" s="183"/>
      <c r="D716" s="183"/>
      <c r="E716" s="219"/>
      <c r="F716" s="219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</row>
    <row r="717">
      <c r="A717" s="183"/>
      <c r="B717" s="183"/>
      <c r="C717" s="183"/>
      <c r="D717" s="183"/>
      <c r="E717" s="219"/>
      <c r="F717" s="219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</row>
    <row r="718">
      <c r="A718" s="183"/>
      <c r="B718" s="183"/>
      <c r="C718" s="183"/>
      <c r="D718" s="183"/>
      <c r="E718" s="219"/>
      <c r="F718" s="219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</row>
    <row r="719">
      <c r="A719" s="183"/>
      <c r="B719" s="183"/>
      <c r="C719" s="183"/>
      <c r="D719" s="183"/>
      <c r="E719" s="219"/>
      <c r="F719" s="219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</row>
    <row r="720">
      <c r="A720" s="183"/>
      <c r="B720" s="183"/>
      <c r="C720" s="183"/>
      <c r="D720" s="183"/>
      <c r="E720" s="219"/>
      <c r="F720" s="219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</row>
    <row r="721">
      <c r="A721" s="183"/>
      <c r="B721" s="183"/>
      <c r="C721" s="183"/>
      <c r="D721" s="183"/>
      <c r="E721" s="219"/>
      <c r="F721" s="219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</row>
    <row r="722">
      <c r="A722" s="183"/>
      <c r="B722" s="183"/>
      <c r="C722" s="183"/>
      <c r="D722" s="183"/>
      <c r="E722" s="219"/>
      <c r="F722" s="219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</row>
    <row r="723">
      <c r="A723" s="183"/>
      <c r="B723" s="183"/>
      <c r="C723" s="183"/>
      <c r="D723" s="183"/>
      <c r="E723" s="219"/>
      <c r="F723" s="219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</row>
    <row r="724">
      <c r="A724" s="183"/>
      <c r="B724" s="183"/>
      <c r="C724" s="183"/>
      <c r="D724" s="183"/>
      <c r="E724" s="219"/>
      <c r="F724" s="219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</row>
    <row r="725">
      <c r="A725" s="183"/>
      <c r="B725" s="183"/>
      <c r="C725" s="183"/>
      <c r="D725" s="183"/>
      <c r="E725" s="219"/>
      <c r="F725" s="219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</row>
    <row r="726">
      <c r="A726" s="183"/>
      <c r="B726" s="183"/>
      <c r="C726" s="183"/>
      <c r="D726" s="183"/>
      <c r="E726" s="219"/>
      <c r="F726" s="219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</row>
    <row r="727">
      <c r="A727" s="183"/>
      <c r="B727" s="183"/>
      <c r="C727" s="183"/>
      <c r="D727" s="183"/>
      <c r="E727" s="219"/>
      <c r="F727" s="219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</row>
    <row r="728">
      <c r="A728" s="183"/>
      <c r="B728" s="183"/>
      <c r="C728" s="183"/>
      <c r="D728" s="183"/>
      <c r="E728" s="219"/>
      <c r="F728" s="219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</row>
    <row r="729">
      <c r="A729" s="183"/>
      <c r="B729" s="183"/>
      <c r="C729" s="183"/>
      <c r="D729" s="183"/>
      <c r="E729" s="219"/>
      <c r="F729" s="219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</row>
    <row r="730">
      <c r="A730" s="183"/>
      <c r="B730" s="183"/>
      <c r="C730" s="183"/>
      <c r="D730" s="183"/>
      <c r="E730" s="219"/>
      <c r="F730" s="219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</row>
    <row r="731">
      <c r="A731" s="183"/>
      <c r="B731" s="183"/>
      <c r="C731" s="183"/>
      <c r="D731" s="183"/>
      <c r="E731" s="219"/>
      <c r="F731" s="219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</row>
    <row r="732">
      <c r="A732" s="183"/>
      <c r="B732" s="183"/>
      <c r="C732" s="183"/>
      <c r="D732" s="183"/>
      <c r="E732" s="219"/>
      <c r="F732" s="219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</row>
    <row r="733">
      <c r="A733" s="183"/>
      <c r="B733" s="183"/>
      <c r="C733" s="183"/>
      <c r="D733" s="183"/>
      <c r="E733" s="219"/>
      <c r="F733" s="219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</row>
    <row r="734">
      <c r="A734" s="183"/>
      <c r="B734" s="183"/>
      <c r="C734" s="183"/>
      <c r="D734" s="183"/>
      <c r="E734" s="219"/>
      <c r="F734" s="219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</row>
    <row r="735">
      <c r="A735" s="183"/>
      <c r="B735" s="183"/>
      <c r="C735" s="183"/>
      <c r="D735" s="183"/>
      <c r="E735" s="219"/>
      <c r="F735" s="219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</row>
    <row r="736">
      <c r="A736" s="183"/>
      <c r="B736" s="183"/>
      <c r="C736" s="183"/>
      <c r="D736" s="183"/>
      <c r="E736" s="219"/>
      <c r="F736" s="219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</row>
    <row r="737">
      <c r="A737" s="183"/>
      <c r="B737" s="183"/>
      <c r="C737" s="183"/>
      <c r="D737" s="183"/>
      <c r="E737" s="219"/>
      <c r="F737" s="219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</row>
    <row r="738">
      <c r="A738" s="183"/>
      <c r="B738" s="183"/>
      <c r="C738" s="183"/>
      <c r="D738" s="183"/>
      <c r="E738" s="219"/>
      <c r="F738" s="219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</row>
    <row r="739">
      <c r="A739" s="183"/>
      <c r="B739" s="183"/>
      <c r="C739" s="183"/>
      <c r="D739" s="183"/>
      <c r="E739" s="219"/>
      <c r="F739" s="219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</row>
    <row r="740">
      <c r="A740" s="183"/>
      <c r="B740" s="183"/>
      <c r="C740" s="183"/>
      <c r="D740" s="183"/>
      <c r="E740" s="219"/>
      <c r="F740" s="219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</row>
    <row r="741">
      <c r="A741" s="183"/>
      <c r="B741" s="183"/>
      <c r="C741" s="183"/>
      <c r="D741" s="183"/>
      <c r="E741" s="219"/>
      <c r="F741" s="219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</row>
    <row r="742">
      <c r="A742" s="183"/>
      <c r="B742" s="183"/>
      <c r="C742" s="183"/>
      <c r="D742" s="183"/>
      <c r="E742" s="219"/>
      <c r="F742" s="219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</row>
    <row r="743">
      <c r="A743" s="183"/>
      <c r="B743" s="183"/>
      <c r="C743" s="183"/>
      <c r="D743" s="183"/>
      <c r="E743" s="219"/>
      <c r="F743" s="219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</row>
    <row r="744">
      <c r="A744" s="183"/>
      <c r="B744" s="183"/>
      <c r="C744" s="183"/>
      <c r="D744" s="183"/>
      <c r="E744" s="219"/>
      <c r="F744" s="219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</row>
    <row r="745">
      <c r="A745" s="183"/>
      <c r="B745" s="183"/>
      <c r="C745" s="183"/>
      <c r="D745" s="183"/>
      <c r="E745" s="219"/>
      <c r="F745" s="219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</row>
    <row r="746">
      <c r="A746" s="183"/>
      <c r="B746" s="183"/>
      <c r="C746" s="183"/>
      <c r="D746" s="183"/>
      <c r="E746" s="219"/>
      <c r="F746" s="219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</row>
    <row r="747">
      <c r="A747" s="183"/>
      <c r="B747" s="183"/>
      <c r="C747" s="183"/>
      <c r="D747" s="183"/>
      <c r="E747" s="219"/>
      <c r="F747" s="219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</row>
    <row r="748">
      <c r="A748" s="183"/>
      <c r="B748" s="183"/>
      <c r="C748" s="183"/>
      <c r="D748" s="183"/>
      <c r="E748" s="219"/>
      <c r="F748" s="219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</row>
    <row r="749">
      <c r="A749" s="183"/>
      <c r="B749" s="183"/>
      <c r="C749" s="183"/>
      <c r="D749" s="183"/>
      <c r="E749" s="219"/>
      <c r="F749" s="219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</row>
    <row r="750">
      <c r="A750" s="183"/>
      <c r="B750" s="183"/>
      <c r="C750" s="183"/>
      <c r="D750" s="183"/>
      <c r="E750" s="219"/>
      <c r="F750" s="219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</row>
    <row r="751">
      <c r="A751" s="183"/>
      <c r="B751" s="183"/>
      <c r="C751" s="183"/>
      <c r="D751" s="183"/>
      <c r="E751" s="219"/>
      <c r="F751" s="219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</row>
    <row r="752">
      <c r="A752" s="183"/>
      <c r="B752" s="183"/>
      <c r="C752" s="183"/>
      <c r="D752" s="183"/>
      <c r="E752" s="219"/>
      <c r="F752" s="219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</row>
    <row r="753">
      <c r="A753" s="183"/>
      <c r="B753" s="183"/>
      <c r="C753" s="183"/>
      <c r="D753" s="183"/>
      <c r="E753" s="219"/>
      <c r="F753" s="219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</row>
    <row r="754">
      <c r="A754" s="183"/>
      <c r="B754" s="183"/>
      <c r="C754" s="183"/>
      <c r="D754" s="183"/>
      <c r="E754" s="219"/>
      <c r="F754" s="219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</row>
    <row r="755">
      <c r="A755" s="183"/>
      <c r="B755" s="183"/>
      <c r="C755" s="183"/>
      <c r="D755" s="183"/>
      <c r="E755" s="219"/>
      <c r="F755" s="219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</row>
    <row r="756">
      <c r="A756" s="183"/>
      <c r="B756" s="183"/>
      <c r="C756" s="183"/>
      <c r="D756" s="183"/>
      <c r="E756" s="219"/>
      <c r="F756" s="219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</row>
    <row r="757">
      <c r="A757" s="183"/>
      <c r="B757" s="183"/>
      <c r="C757" s="183"/>
      <c r="D757" s="183"/>
      <c r="E757" s="219"/>
      <c r="F757" s="219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</row>
    <row r="758">
      <c r="A758" s="183"/>
      <c r="B758" s="183"/>
      <c r="C758" s="183"/>
      <c r="D758" s="183"/>
      <c r="E758" s="219"/>
      <c r="F758" s="219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</row>
    <row r="759">
      <c r="A759" s="183"/>
      <c r="B759" s="183"/>
      <c r="C759" s="183"/>
      <c r="D759" s="183"/>
      <c r="E759" s="219"/>
      <c r="F759" s="219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</row>
    <row r="760">
      <c r="A760" s="183"/>
      <c r="B760" s="183"/>
      <c r="C760" s="183"/>
      <c r="D760" s="183"/>
      <c r="E760" s="219"/>
      <c r="F760" s="219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</row>
    <row r="761">
      <c r="A761" s="183"/>
      <c r="B761" s="183"/>
      <c r="C761" s="183"/>
      <c r="D761" s="183"/>
      <c r="E761" s="219"/>
      <c r="F761" s="219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</row>
    <row r="762">
      <c r="A762" s="183"/>
      <c r="B762" s="183"/>
      <c r="C762" s="183"/>
      <c r="D762" s="183"/>
      <c r="E762" s="219"/>
      <c r="F762" s="219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</row>
    <row r="763">
      <c r="A763" s="183"/>
      <c r="B763" s="183"/>
      <c r="C763" s="183"/>
      <c r="D763" s="183"/>
      <c r="E763" s="219"/>
      <c r="F763" s="219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</row>
    <row r="764">
      <c r="A764" s="183"/>
      <c r="B764" s="183"/>
      <c r="C764" s="183"/>
      <c r="D764" s="183"/>
      <c r="E764" s="219"/>
      <c r="F764" s="219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</row>
    <row r="765">
      <c r="A765" s="183"/>
      <c r="B765" s="183"/>
      <c r="C765" s="183"/>
      <c r="D765" s="183"/>
      <c r="E765" s="219"/>
      <c r="F765" s="219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</row>
    <row r="766">
      <c r="A766" s="183"/>
      <c r="B766" s="183"/>
      <c r="C766" s="183"/>
      <c r="D766" s="183"/>
      <c r="E766" s="219"/>
      <c r="F766" s="219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</row>
    <row r="767">
      <c r="A767" s="183"/>
      <c r="B767" s="183"/>
      <c r="C767" s="183"/>
      <c r="D767" s="183"/>
      <c r="E767" s="219"/>
      <c r="F767" s="219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</row>
    <row r="768">
      <c r="A768" s="183"/>
      <c r="B768" s="183"/>
      <c r="C768" s="183"/>
      <c r="D768" s="183"/>
      <c r="E768" s="219"/>
      <c r="F768" s="219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</row>
    <row r="769">
      <c r="A769" s="183"/>
      <c r="B769" s="183"/>
      <c r="C769" s="183"/>
      <c r="D769" s="183"/>
      <c r="E769" s="219"/>
      <c r="F769" s="219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</row>
    <row r="770">
      <c r="A770" s="183"/>
      <c r="B770" s="183"/>
      <c r="C770" s="183"/>
      <c r="D770" s="183"/>
      <c r="E770" s="219"/>
      <c r="F770" s="219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</row>
    <row r="771">
      <c r="A771" s="183"/>
      <c r="B771" s="183"/>
      <c r="C771" s="183"/>
      <c r="D771" s="183"/>
      <c r="E771" s="219"/>
      <c r="F771" s="219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</row>
    <row r="772">
      <c r="A772" s="183"/>
      <c r="B772" s="183"/>
      <c r="C772" s="183"/>
      <c r="D772" s="183"/>
      <c r="E772" s="219"/>
      <c r="F772" s="219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</row>
    <row r="773">
      <c r="A773" s="183"/>
      <c r="B773" s="183"/>
      <c r="C773" s="183"/>
      <c r="D773" s="183"/>
      <c r="E773" s="219"/>
      <c r="F773" s="219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</row>
    <row r="774">
      <c r="A774" s="183"/>
      <c r="B774" s="183"/>
      <c r="C774" s="183"/>
      <c r="D774" s="183"/>
      <c r="E774" s="219"/>
      <c r="F774" s="219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</row>
    <row r="775">
      <c r="A775" s="183"/>
      <c r="B775" s="183"/>
      <c r="C775" s="183"/>
      <c r="D775" s="183"/>
      <c r="E775" s="219"/>
      <c r="F775" s="219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</row>
    <row r="776">
      <c r="A776" s="183"/>
      <c r="B776" s="183"/>
      <c r="C776" s="183"/>
      <c r="D776" s="183"/>
      <c r="E776" s="219"/>
      <c r="F776" s="219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</row>
    <row r="777">
      <c r="A777" s="183"/>
      <c r="B777" s="183"/>
      <c r="C777" s="183"/>
      <c r="D777" s="183"/>
      <c r="E777" s="219"/>
      <c r="F777" s="219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</row>
    <row r="778">
      <c r="A778" s="183"/>
      <c r="B778" s="183"/>
      <c r="C778" s="183"/>
      <c r="D778" s="183"/>
      <c r="E778" s="219"/>
      <c r="F778" s="219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</row>
    <row r="779">
      <c r="A779" s="183"/>
      <c r="B779" s="183"/>
      <c r="C779" s="183"/>
      <c r="D779" s="183"/>
      <c r="E779" s="219"/>
      <c r="F779" s="219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</row>
    <row r="780">
      <c r="A780" s="183"/>
      <c r="B780" s="183"/>
      <c r="C780" s="183"/>
      <c r="D780" s="183"/>
      <c r="E780" s="219"/>
      <c r="F780" s="219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</row>
    <row r="781">
      <c r="A781" s="183"/>
      <c r="B781" s="183"/>
      <c r="C781" s="183"/>
      <c r="D781" s="183"/>
      <c r="E781" s="219"/>
      <c r="F781" s="219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</row>
    <row r="782">
      <c r="A782" s="183"/>
      <c r="B782" s="183"/>
      <c r="C782" s="183"/>
      <c r="D782" s="183"/>
      <c r="E782" s="219"/>
      <c r="F782" s="219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</row>
    <row r="783">
      <c r="A783" s="183"/>
      <c r="B783" s="183"/>
      <c r="C783" s="183"/>
      <c r="D783" s="183"/>
      <c r="E783" s="219"/>
      <c r="F783" s="219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</row>
    <row r="784">
      <c r="A784" s="183"/>
      <c r="B784" s="183"/>
      <c r="C784" s="183"/>
      <c r="D784" s="183"/>
      <c r="E784" s="219"/>
      <c r="F784" s="219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</row>
    <row r="785">
      <c r="A785" s="183"/>
      <c r="B785" s="183"/>
      <c r="C785" s="183"/>
      <c r="D785" s="183"/>
      <c r="E785" s="219"/>
      <c r="F785" s="219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</row>
    <row r="786">
      <c r="A786" s="183"/>
      <c r="B786" s="183"/>
      <c r="C786" s="183"/>
      <c r="D786" s="183"/>
      <c r="E786" s="219"/>
      <c r="F786" s="219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</row>
    <row r="787">
      <c r="A787" s="183"/>
      <c r="B787" s="183"/>
      <c r="C787" s="183"/>
      <c r="D787" s="183"/>
      <c r="E787" s="219"/>
      <c r="F787" s="219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</row>
    <row r="788">
      <c r="A788" s="183"/>
      <c r="B788" s="183"/>
      <c r="C788" s="183"/>
      <c r="D788" s="183"/>
      <c r="E788" s="219"/>
      <c r="F788" s="219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</row>
    <row r="789">
      <c r="A789" s="183"/>
      <c r="B789" s="183"/>
      <c r="C789" s="183"/>
      <c r="D789" s="183"/>
      <c r="E789" s="219"/>
      <c r="F789" s="219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</row>
    <row r="790">
      <c r="A790" s="183"/>
      <c r="B790" s="183"/>
      <c r="C790" s="183"/>
      <c r="D790" s="183"/>
      <c r="E790" s="219"/>
      <c r="F790" s="219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</row>
    <row r="791">
      <c r="A791" s="183"/>
      <c r="B791" s="183"/>
      <c r="C791" s="183"/>
      <c r="D791" s="183"/>
      <c r="E791" s="219"/>
      <c r="F791" s="219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</row>
    <row r="792">
      <c r="A792" s="183"/>
      <c r="B792" s="183"/>
      <c r="C792" s="183"/>
      <c r="D792" s="183"/>
      <c r="E792" s="219"/>
      <c r="F792" s="219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</row>
    <row r="793">
      <c r="A793" s="183"/>
      <c r="B793" s="183"/>
      <c r="C793" s="183"/>
      <c r="D793" s="183"/>
      <c r="E793" s="219"/>
      <c r="F793" s="219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</row>
    <row r="794">
      <c r="A794" s="183"/>
      <c r="B794" s="183"/>
      <c r="C794" s="183"/>
      <c r="D794" s="183"/>
      <c r="E794" s="219"/>
      <c r="F794" s="219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  <c r="AA794" s="183"/>
    </row>
    <row r="795">
      <c r="A795" s="183"/>
      <c r="B795" s="183"/>
      <c r="C795" s="183"/>
      <c r="D795" s="183"/>
      <c r="E795" s="219"/>
      <c r="F795" s="219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  <c r="AA795" s="183"/>
    </row>
    <row r="796">
      <c r="A796" s="183"/>
      <c r="B796" s="183"/>
      <c r="C796" s="183"/>
      <c r="D796" s="183"/>
      <c r="E796" s="219"/>
      <c r="F796" s="219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  <c r="AA796" s="183"/>
    </row>
    <row r="797">
      <c r="A797" s="183"/>
      <c r="B797" s="183"/>
      <c r="C797" s="183"/>
      <c r="D797" s="183"/>
      <c r="E797" s="219"/>
      <c r="F797" s="219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  <c r="AA797" s="183"/>
    </row>
    <row r="798">
      <c r="A798" s="183"/>
      <c r="B798" s="183"/>
      <c r="C798" s="183"/>
      <c r="D798" s="183"/>
      <c r="E798" s="219"/>
      <c r="F798" s="219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  <c r="AA798" s="183"/>
    </row>
    <row r="799">
      <c r="A799" s="183"/>
      <c r="B799" s="183"/>
      <c r="C799" s="183"/>
      <c r="D799" s="183"/>
      <c r="E799" s="219"/>
      <c r="F799" s="219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  <c r="AA799" s="183"/>
    </row>
    <row r="800">
      <c r="A800" s="183"/>
      <c r="B800" s="183"/>
      <c r="C800" s="183"/>
      <c r="D800" s="183"/>
      <c r="E800" s="219"/>
      <c r="F800" s="219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  <c r="AA800" s="183"/>
    </row>
    <row r="801">
      <c r="A801" s="183"/>
      <c r="B801" s="183"/>
      <c r="C801" s="183"/>
      <c r="D801" s="183"/>
      <c r="E801" s="219"/>
      <c r="F801" s="219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  <c r="AA801" s="183"/>
    </row>
    <row r="802">
      <c r="A802" s="183"/>
      <c r="B802" s="183"/>
      <c r="C802" s="183"/>
      <c r="D802" s="183"/>
      <c r="E802" s="219"/>
      <c r="F802" s="219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  <c r="AA802" s="183"/>
    </row>
    <row r="803">
      <c r="A803" s="183"/>
      <c r="B803" s="183"/>
      <c r="C803" s="183"/>
      <c r="D803" s="183"/>
      <c r="E803" s="219"/>
      <c r="F803" s="219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  <c r="AA803" s="183"/>
    </row>
    <row r="804">
      <c r="A804" s="183"/>
      <c r="B804" s="183"/>
      <c r="C804" s="183"/>
      <c r="D804" s="183"/>
      <c r="E804" s="219"/>
      <c r="F804" s="219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  <c r="AA804" s="183"/>
    </row>
    <row r="805">
      <c r="A805" s="183"/>
      <c r="B805" s="183"/>
      <c r="C805" s="183"/>
      <c r="D805" s="183"/>
      <c r="E805" s="219"/>
      <c r="F805" s="219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  <c r="AA805" s="183"/>
    </row>
    <row r="806">
      <c r="A806" s="183"/>
      <c r="B806" s="183"/>
      <c r="C806" s="183"/>
      <c r="D806" s="183"/>
      <c r="E806" s="219"/>
      <c r="F806" s="219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  <c r="AA806" s="183"/>
    </row>
    <row r="807">
      <c r="A807" s="183"/>
      <c r="B807" s="183"/>
      <c r="C807" s="183"/>
      <c r="D807" s="183"/>
      <c r="E807" s="219"/>
      <c r="F807" s="219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  <c r="AA807" s="183"/>
    </row>
    <row r="808">
      <c r="A808" s="183"/>
      <c r="B808" s="183"/>
      <c r="C808" s="183"/>
      <c r="D808" s="183"/>
      <c r="E808" s="219"/>
      <c r="F808" s="219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  <c r="AA808" s="183"/>
    </row>
    <row r="809">
      <c r="A809" s="183"/>
      <c r="B809" s="183"/>
      <c r="C809" s="183"/>
      <c r="D809" s="183"/>
      <c r="E809" s="219"/>
      <c r="F809" s="219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  <c r="AA809" s="183"/>
    </row>
    <row r="810">
      <c r="A810" s="183"/>
      <c r="B810" s="183"/>
      <c r="C810" s="183"/>
      <c r="D810" s="183"/>
      <c r="E810" s="219"/>
      <c r="F810" s="219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  <c r="AA810" s="183"/>
    </row>
    <row r="811">
      <c r="A811" s="183"/>
      <c r="B811" s="183"/>
      <c r="C811" s="183"/>
      <c r="D811" s="183"/>
      <c r="E811" s="219"/>
      <c r="F811" s="219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  <c r="AA811" s="183"/>
    </row>
    <row r="812">
      <c r="A812" s="183"/>
      <c r="B812" s="183"/>
      <c r="C812" s="183"/>
      <c r="D812" s="183"/>
      <c r="E812" s="219"/>
      <c r="F812" s="219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  <c r="AA812" s="183"/>
    </row>
    <row r="813">
      <c r="A813" s="183"/>
      <c r="B813" s="183"/>
      <c r="C813" s="183"/>
      <c r="D813" s="183"/>
      <c r="E813" s="219"/>
      <c r="F813" s="219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  <c r="AA813" s="183"/>
    </row>
    <row r="814">
      <c r="A814" s="183"/>
      <c r="B814" s="183"/>
      <c r="C814" s="183"/>
      <c r="D814" s="183"/>
      <c r="E814" s="219"/>
      <c r="F814" s="219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  <c r="AA814" s="183"/>
    </row>
    <row r="815">
      <c r="A815" s="183"/>
      <c r="B815" s="183"/>
      <c r="C815" s="183"/>
      <c r="D815" s="183"/>
      <c r="E815" s="219"/>
      <c r="F815" s="219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  <c r="AA815" s="183"/>
    </row>
    <row r="816">
      <c r="A816" s="183"/>
      <c r="B816" s="183"/>
      <c r="C816" s="183"/>
      <c r="D816" s="183"/>
      <c r="E816" s="219"/>
      <c r="F816" s="219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  <c r="AA816" s="183"/>
    </row>
    <row r="817">
      <c r="A817" s="183"/>
      <c r="B817" s="183"/>
      <c r="C817" s="183"/>
      <c r="D817" s="183"/>
      <c r="E817" s="219"/>
      <c r="F817" s="219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  <c r="AA817" s="183"/>
    </row>
    <row r="818">
      <c r="A818" s="183"/>
      <c r="B818" s="183"/>
      <c r="C818" s="183"/>
      <c r="D818" s="183"/>
      <c r="E818" s="219"/>
      <c r="F818" s="219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  <c r="AA818" s="183"/>
    </row>
    <row r="819">
      <c r="A819" s="183"/>
      <c r="B819" s="183"/>
      <c r="C819" s="183"/>
      <c r="D819" s="183"/>
      <c r="E819" s="219"/>
      <c r="F819" s="219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  <c r="AA819" s="183"/>
    </row>
    <row r="820">
      <c r="A820" s="183"/>
      <c r="B820" s="183"/>
      <c r="C820" s="183"/>
      <c r="D820" s="183"/>
      <c r="E820" s="219"/>
      <c r="F820" s="219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  <c r="AA820" s="183"/>
    </row>
    <row r="821">
      <c r="A821" s="183"/>
      <c r="B821" s="183"/>
      <c r="C821" s="183"/>
      <c r="D821" s="183"/>
      <c r="E821" s="219"/>
      <c r="F821" s="219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  <c r="AA821" s="183"/>
    </row>
    <row r="822">
      <c r="A822" s="183"/>
      <c r="B822" s="183"/>
      <c r="C822" s="183"/>
      <c r="D822" s="183"/>
      <c r="E822" s="219"/>
      <c r="F822" s="219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  <c r="AA822" s="183"/>
    </row>
    <row r="823">
      <c r="A823" s="183"/>
      <c r="B823" s="183"/>
      <c r="C823" s="183"/>
      <c r="D823" s="183"/>
      <c r="E823" s="219"/>
      <c r="F823" s="219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  <c r="AA823" s="183"/>
    </row>
    <row r="824">
      <c r="A824" s="183"/>
      <c r="B824" s="183"/>
      <c r="C824" s="183"/>
      <c r="D824" s="183"/>
      <c r="E824" s="219"/>
      <c r="F824" s="219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  <c r="AA824" s="183"/>
    </row>
    <row r="825">
      <c r="A825" s="183"/>
      <c r="B825" s="183"/>
      <c r="C825" s="183"/>
      <c r="D825" s="183"/>
      <c r="E825" s="219"/>
      <c r="F825" s="219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  <c r="AA825" s="183"/>
    </row>
    <row r="826">
      <c r="A826" s="183"/>
      <c r="B826" s="183"/>
      <c r="C826" s="183"/>
      <c r="D826" s="183"/>
      <c r="E826" s="219"/>
      <c r="F826" s="219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  <c r="AA826" s="183"/>
    </row>
    <row r="827">
      <c r="A827" s="183"/>
      <c r="B827" s="183"/>
      <c r="C827" s="183"/>
      <c r="D827" s="183"/>
      <c r="E827" s="219"/>
      <c r="F827" s="219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  <c r="AA827" s="183"/>
    </row>
    <row r="828">
      <c r="A828" s="183"/>
      <c r="B828" s="183"/>
      <c r="C828" s="183"/>
      <c r="D828" s="183"/>
      <c r="E828" s="219"/>
      <c r="F828" s="219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  <c r="AA828" s="183"/>
    </row>
    <row r="829">
      <c r="A829" s="183"/>
      <c r="B829" s="183"/>
      <c r="C829" s="183"/>
      <c r="D829" s="183"/>
      <c r="E829" s="219"/>
      <c r="F829" s="219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  <c r="AA829" s="183"/>
    </row>
    <row r="830">
      <c r="A830" s="183"/>
      <c r="B830" s="183"/>
      <c r="C830" s="183"/>
      <c r="D830" s="183"/>
      <c r="E830" s="219"/>
      <c r="F830" s="219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  <c r="AA830" s="183"/>
    </row>
    <row r="831">
      <c r="A831" s="183"/>
      <c r="B831" s="183"/>
      <c r="C831" s="183"/>
      <c r="D831" s="183"/>
      <c r="E831" s="219"/>
      <c r="F831" s="219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  <c r="AA831" s="183"/>
    </row>
    <row r="832">
      <c r="A832" s="183"/>
      <c r="B832" s="183"/>
      <c r="C832" s="183"/>
      <c r="D832" s="183"/>
      <c r="E832" s="219"/>
      <c r="F832" s="219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  <c r="AA832" s="183"/>
    </row>
    <row r="833">
      <c r="A833" s="183"/>
      <c r="B833" s="183"/>
      <c r="C833" s="183"/>
      <c r="D833" s="183"/>
      <c r="E833" s="219"/>
      <c r="F833" s="219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  <c r="AA833" s="183"/>
    </row>
    <row r="834">
      <c r="A834" s="183"/>
      <c r="B834" s="183"/>
      <c r="C834" s="183"/>
      <c r="D834" s="183"/>
      <c r="E834" s="219"/>
      <c r="F834" s="219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  <c r="AA834" s="183"/>
    </row>
    <row r="835">
      <c r="A835" s="183"/>
      <c r="B835" s="183"/>
      <c r="C835" s="183"/>
      <c r="D835" s="183"/>
      <c r="E835" s="219"/>
      <c r="F835" s="219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  <c r="AA835" s="183"/>
    </row>
    <row r="836">
      <c r="A836" s="183"/>
      <c r="B836" s="183"/>
      <c r="C836" s="183"/>
      <c r="D836" s="183"/>
      <c r="E836" s="219"/>
      <c r="F836" s="219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  <c r="AA836" s="183"/>
    </row>
    <row r="837">
      <c r="A837" s="183"/>
      <c r="B837" s="183"/>
      <c r="C837" s="183"/>
      <c r="D837" s="183"/>
      <c r="E837" s="219"/>
      <c r="F837" s="219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  <c r="AA837" s="183"/>
    </row>
    <row r="838">
      <c r="A838" s="183"/>
      <c r="B838" s="183"/>
      <c r="C838" s="183"/>
      <c r="D838" s="183"/>
      <c r="E838" s="219"/>
      <c r="F838" s="219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  <c r="AA838" s="183"/>
    </row>
    <row r="839">
      <c r="A839" s="183"/>
      <c r="B839" s="183"/>
      <c r="C839" s="183"/>
      <c r="D839" s="183"/>
      <c r="E839" s="219"/>
      <c r="F839" s="219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  <c r="AA839" s="183"/>
    </row>
    <row r="840">
      <c r="A840" s="183"/>
      <c r="B840" s="183"/>
      <c r="C840" s="183"/>
      <c r="D840" s="183"/>
      <c r="E840" s="219"/>
      <c r="F840" s="219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  <c r="AA840" s="183"/>
    </row>
    <row r="841">
      <c r="A841" s="183"/>
      <c r="B841" s="183"/>
      <c r="C841" s="183"/>
      <c r="D841" s="183"/>
      <c r="E841" s="219"/>
      <c r="F841" s="219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  <c r="AA841" s="183"/>
    </row>
    <row r="842">
      <c r="A842" s="183"/>
      <c r="B842" s="183"/>
      <c r="C842" s="183"/>
      <c r="D842" s="183"/>
      <c r="E842" s="219"/>
      <c r="F842" s="219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  <c r="AA842" s="183"/>
    </row>
    <row r="843">
      <c r="A843" s="183"/>
      <c r="B843" s="183"/>
      <c r="C843" s="183"/>
      <c r="D843" s="183"/>
      <c r="E843" s="219"/>
      <c r="F843" s="219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  <c r="AA843" s="183"/>
    </row>
    <row r="844">
      <c r="A844" s="183"/>
      <c r="B844" s="183"/>
      <c r="C844" s="183"/>
      <c r="D844" s="183"/>
      <c r="E844" s="219"/>
      <c r="F844" s="219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  <c r="AA844" s="183"/>
    </row>
    <row r="845">
      <c r="A845" s="183"/>
      <c r="B845" s="183"/>
      <c r="C845" s="183"/>
      <c r="D845" s="183"/>
      <c r="E845" s="219"/>
      <c r="F845" s="219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  <c r="AA845" s="183"/>
    </row>
    <row r="846">
      <c r="A846" s="183"/>
      <c r="B846" s="183"/>
      <c r="C846" s="183"/>
      <c r="D846" s="183"/>
      <c r="E846" s="219"/>
      <c r="F846" s="219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  <c r="AA846" s="183"/>
    </row>
    <row r="847">
      <c r="A847" s="183"/>
      <c r="B847" s="183"/>
      <c r="C847" s="183"/>
      <c r="D847" s="183"/>
      <c r="E847" s="219"/>
      <c r="F847" s="219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  <c r="AA847" s="183"/>
    </row>
    <row r="848">
      <c r="A848" s="183"/>
      <c r="B848" s="183"/>
      <c r="C848" s="183"/>
      <c r="D848" s="183"/>
      <c r="E848" s="219"/>
      <c r="F848" s="219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  <c r="AA848" s="183"/>
    </row>
    <row r="849">
      <c r="A849" s="183"/>
      <c r="B849" s="183"/>
      <c r="C849" s="183"/>
      <c r="D849" s="183"/>
      <c r="E849" s="219"/>
      <c r="F849" s="219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  <c r="AA849" s="183"/>
    </row>
    <row r="850">
      <c r="A850" s="183"/>
      <c r="B850" s="183"/>
      <c r="C850" s="183"/>
      <c r="D850" s="183"/>
      <c r="E850" s="219"/>
      <c r="F850" s="219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  <c r="AA850" s="183"/>
    </row>
    <row r="851">
      <c r="A851" s="183"/>
      <c r="B851" s="183"/>
      <c r="C851" s="183"/>
      <c r="D851" s="183"/>
      <c r="E851" s="219"/>
      <c r="F851" s="219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  <c r="AA851" s="183"/>
    </row>
    <row r="852">
      <c r="A852" s="183"/>
      <c r="B852" s="183"/>
      <c r="C852" s="183"/>
      <c r="D852" s="183"/>
      <c r="E852" s="219"/>
      <c r="F852" s="219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  <c r="AA852" s="183"/>
    </row>
    <row r="853">
      <c r="A853" s="183"/>
      <c r="B853" s="183"/>
      <c r="C853" s="183"/>
      <c r="D853" s="183"/>
      <c r="E853" s="219"/>
      <c r="F853" s="219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  <c r="AA853" s="183"/>
    </row>
    <row r="854">
      <c r="A854" s="183"/>
      <c r="B854" s="183"/>
      <c r="C854" s="183"/>
      <c r="D854" s="183"/>
      <c r="E854" s="219"/>
      <c r="F854" s="219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  <c r="AA854" s="183"/>
    </row>
    <row r="855">
      <c r="A855" s="183"/>
      <c r="B855" s="183"/>
      <c r="C855" s="183"/>
      <c r="D855" s="183"/>
      <c r="E855" s="219"/>
      <c r="F855" s="219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  <c r="AA855" s="183"/>
    </row>
    <row r="856">
      <c r="A856" s="183"/>
      <c r="B856" s="183"/>
      <c r="C856" s="183"/>
      <c r="D856" s="183"/>
      <c r="E856" s="219"/>
      <c r="F856" s="219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  <c r="AA856" s="183"/>
    </row>
    <row r="857">
      <c r="A857" s="183"/>
      <c r="B857" s="183"/>
      <c r="C857" s="183"/>
      <c r="D857" s="183"/>
      <c r="E857" s="219"/>
      <c r="F857" s="219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  <c r="AA857" s="183"/>
    </row>
    <row r="858">
      <c r="A858" s="183"/>
      <c r="B858" s="183"/>
      <c r="C858" s="183"/>
      <c r="D858" s="183"/>
      <c r="E858" s="219"/>
      <c r="F858" s="219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  <c r="AA858" s="183"/>
    </row>
    <row r="859">
      <c r="A859" s="183"/>
      <c r="B859" s="183"/>
      <c r="C859" s="183"/>
      <c r="D859" s="183"/>
      <c r="E859" s="219"/>
      <c r="F859" s="219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  <c r="AA859" s="183"/>
    </row>
    <row r="860">
      <c r="A860" s="183"/>
      <c r="B860" s="183"/>
      <c r="C860" s="183"/>
      <c r="D860" s="183"/>
      <c r="E860" s="219"/>
      <c r="F860" s="219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  <c r="AA860" s="183"/>
    </row>
    <row r="861">
      <c r="A861" s="183"/>
      <c r="B861" s="183"/>
      <c r="C861" s="183"/>
      <c r="D861" s="183"/>
      <c r="E861" s="219"/>
      <c r="F861" s="219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  <c r="AA861" s="183"/>
    </row>
    <row r="862">
      <c r="A862" s="183"/>
      <c r="B862" s="183"/>
      <c r="C862" s="183"/>
      <c r="D862" s="183"/>
      <c r="E862" s="219"/>
      <c r="F862" s="219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  <c r="AA862" s="183"/>
    </row>
    <row r="863">
      <c r="A863" s="183"/>
      <c r="B863" s="183"/>
      <c r="C863" s="183"/>
      <c r="D863" s="183"/>
      <c r="E863" s="219"/>
      <c r="F863" s="219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  <c r="AA863" s="183"/>
    </row>
    <row r="864">
      <c r="A864" s="183"/>
      <c r="B864" s="183"/>
      <c r="C864" s="183"/>
      <c r="D864" s="183"/>
      <c r="E864" s="219"/>
      <c r="F864" s="219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  <c r="AA864" s="183"/>
    </row>
    <row r="865">
      <c r="A865" s="183"/>
      <c r="B865" s="183"/>
      <c r="C865" s="183"/>
      <c r="D865" s="183"/>
      <c r="E865" s="219"/>
      <c r="F865" s="219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  <c r="AA865" s="183"/>
    </row>
    <row r="866">
      <c r="A866" s="183"/>
      <c r="B866" s="183"/>
      <c r="C866" s="183"/>
      <c r="D866" s="183"/>
      <c r="E866" s="219"/>
      <c r="F866" s="219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  <c r="AA866" s="183"/>
    </row>
    <row r="867">
      <c r="A867" s="183"/>
      <c r="B867" s="183"/>
      <c r="C867" s="183"/>
      <c r="D867" s="183"/>
      <c r="E867" s="219"/>
      <c r="F867" s="219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  <c r="AA867" s="183"/>
    </row>
    <row r="868">
      <c r="A868" s="183"/>
      <c r="B868" s="183"/>
      <c r="C868" s="183"/>
      <c r="D868" s="183"/>
      <c r="E868" s="219"/>
      <c r="F868" s="219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  <c r="AA868" s="183"/>
    </row>
    <row r="869">
      <c r="A869" s="183"/>
      <c r="B869" s="183"/>
      <c r="C869" s="183"/>
      <c r="D869" s="183"/>
      <c r="E869" s="219"/>
      <c r="F869" s="219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  <c r="AA869" s="183"/>
    </row>
    <row r="870">
      <c r="A870" s="183"/>
      <c r="B870" s="183"/>
      <c r="C870" s="183"/>
      <c r="D870" s="183"/>
      <c r="E870" s="219"/>
      <c r="F870" s="219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  <c r="AA870" s="183"/>
    </row>
    <row r="871">
      <c r="A871" s="183"/>
      <c r="B871" s="183"/>
      <c r="C871" s="183"/>
      <c r="D871" s="183"/>
      <c r="E871" s="219"/>
      <c r="F871" s="219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  <c r="AA871" s="183"/>
    </row>
    <row r="872">
      <c r="A872" s="183"/>
      <c r="B872" s="183"/>
      <c r="C872" s="183"/>
      <c r="D872" s="183"/>
      <c r="E872" s="219"/>
      <c r="F872" s="219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  <c r="AA872" s="183"/>
    </row>
    <row r="873">
      <c r="A873" s="183"/>
      <c r="B873" s="183"/>
      <c r="C873" s="183"/>
      <c r="D873" s="183"/>
      <c r="E873" s="219"/>
      <c r="F873" s="219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  <c r="AA873" s="183"/>
    </row>
    <row r="874">
      <c r="A874" s="183"/>
      <c r="B874" s="183"/>
      <c r="C874" s="183"/>
      <c r="D874" s="183"/>
      <c r="E874" s="219"/>
      <c r="F874" s="219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  <c r="AA874" s="183"/>
    </row>
    <row r="875">
      <c r="A875" s="183"/>
      <c r="B875" s="183"/>
      <c r="C875" s="183"/>
      <c r="D875" s="183"/>
      <c r="E875" s="219"/>
      <c r="F875" s="219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  <c r="AA875" s="183"/>
    </row>
    <row r="876">
      <c r="A876" s="183"/>
      <c r="B876" s="183"/>
      <c r="C876" s="183"/>
      <c r="D876" s="183"/>
      <c r="E876" s="219"/>
      <c r="F876" s="219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  <c r="AA876" s="183"/>
    </row>
    <row r="877">
      <c r="A877" s="183"/>
      <c r="B877" s="183"/>
      <c r="C877" s="183"/>
      <c r="D877" s="183"/>
      <c r="E877" s="219"/>
      <c r="F877" s="219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  <c r="AA877" s="183"/>
    </row>
    <row r="878">
      <c r="A878" s="183"/>
      <c r="B878" s="183"/>
      <c r="C878" s="183"/>
      <c r="D878" s="183"/>
      <c r="E878" s="219"/>
      <c r="F878" s="219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  <c r="AA878" s="183"/>
    </row>
    <row r="879">
      <c r="A879" s="183"/>
      <c r="B879" s="183"/>
      <c r="C879" s="183"/>
      <c r="D879" s="183"/>
      <c r="E879" s="219"/>
      <c r="F879" s="219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  <c r="AA879" s="183"/>
    </row>
    <row r="880">
      <c r="A880" s="183"/>
      <c r="B880" s="183"/>
      <c r="C880" s="183"/>
      <c r="D880" s="183"/>
      <c r="E880" s="219"/>
      <c r="F880" s="219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  <c r="AA880" s="183"/>
    </row>
    <row r="881">
      <c r="A881" s="183"/>
      <c r="B881" s="183"/>
      <c r="C881" s="183"/>
      <c r="D881" s="183"/>
      <c r="E881" s="219"/>
      <c r="F881" s="219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  <c r="AA881" s="183"/>
    </row>
    <row r="882">
      <c r="A882" s="183"/>
      <c r="B882" s="183"/>
      <c r="C882" s="183"/>
      <c r="D882" s="183"/>
      <c r="E882" s="219"/>
      <c r="F882" s="219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  <c r="AA882" s="183"/>
    </row>
    <row r="883">
      <c r="A883" s="183"/>
      <c r="B883" s="183"/>
      <c r="C883" s="183"/>
      <c r="D883" s="183"/>
      <c r="E883" s="219"/>
      <c r="F883" s="219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  <c r="AA883" s="183"/>
    </row>
    <row r="884">
      <c r="A884" s="183"/>
      <c r="B884" s="183"/>
      <c r="C884" s="183"/>
      <c r="D884" s="183"/>
      <c r="E884" s="219"/>
      <c r="F884" s="219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  <c r="AA884" s="183"/>
    </row>
    <row r="885">
      <c r="A885" s="183"/>
      <c r="B885" s="183"/>
      <c r="C885" s="183"/>
      <c r="D885" s="183"/>
      <c r="E885" s="219"/>
      <c r="F885" s="219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  <c r="AA885" s="183"/>
    </row>
    <row r="886">
      <c r="A886" s="183"/>
      <c r="B886" s="183"/>
      <c r="C886" s="183"/>
      <c r="D886" s="183"/>
      <c r="E886" s="219"/>
      <c r="F886" s="219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  <c r="AA886" s="183"/>
    </row>
    <row r="887">
      <c r="A887" s="183"/>
      <c r="B887" s="183"/>
      <c r="C887" s="183"/>
      <c r="D887" s="183"/>
      <c r="E887" s="219"/>
      <c r="F887" s="219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  <c r="AA887" s="183"/>
    </row>
    <row r="888">
      <c r="A888" s="183"/>
      <c r="B888" s="183"/>
      <c r="C888" s="183"/>
      <c r="D888" s="183"/>
      <c r="E888" s="219"/>
      <c r="F888" s="219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  <c r="AA888" s="183"/>
    </row>
    <row r="889">
      <c r="A889" s="183"/>
      <c r="B889" s="183"/>
      <c r="C889" s="183"/>
      <c r="D889" s="183"/>
      <c r="E889" s="219"/>
      <c r="F889" s="219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  <c r="AA889" s="183"/>
    </row>
    <row r="890">
      <c r="A890" s="183"/>
      <c r="B890" s="183"/>
      <c r="C890" s="183"/>
      <c r="D890" s="183"/>
      <c r="E890" s="219"/>
      <c r="F890" s="219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  <c r="AA890" s="183"/>
    </row>
    <row r="891">
      <c r="A891" s="183"/>
      <c r="B891" s="183"/>
      <c r="C891" s="183"/>
      <c r="D891" s="183"/>
      <c r="E891" s="219"/>
      <c r="F891" s="219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  <c r="AA891" s="183"/>
    </row>
    <row r="892">
      <c r="A892" s="183"/>
      <c r="B892" s="183"/>
      <c r="C892" s="183"/>
      <c r="D892" s="183"/>
      <c r="E892" s="219"/>
      <c r="F892" s="219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  <c r="AA892" s="183"/>
    </row>
    <row r="893">
      <c r="A893" s="183"/>
      <c r="B893" s="183"/>
      <c r="C893" s="183"/>
      <c r="D893" s="183"/>
      <c r="E893" s="219"/>
      <c r="F893" s="219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  <c r="AA893" s="183"/>
    </row>
    <row r="894">
      <c r="A894" s="183"/>
      <c r="B894" s="183"/>
      <c r="C894" s="183"/>
      <c r="D894" s="183"/>
      <c r="E894" s="219"/>
      <c r="F894" s="219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  <c r="AA894" s="183"/>
    </row>
    <row r="895">
      <c r="A895" s="183"/>
      <c r="B895" s="183"/>
      <c r="C895" s="183"/>
      <c r="D895" s="183"/>
      <c r="E895" s="219"/>
      <c r="F895" s="219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  <c r="AA895" s="183"/>
    </row>
    <row r="896">
      <c r="A896" s="183"/>
      <c r="B896" s="183"/>
      <c r="C896" s="183"/>
      <c r="D896" s="183"/>
      <c r="E896" s="219"/>
      <c r="F896" s="219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  <c r="AA896" s="183"/>
    </row>
    <row r="897">
      <c r="A897" s="183"/>
      <c r="B897" s="183"/>
      <c r="C897" s="183"/>
      <c r="D897" s="183"/>
      <c r="E897" s="219"/>
      <c r="F897" s="219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  <c r="AA897" s="183"/>
    </row>
    <row r="898">
      <c r="A898" s="183"/>
      <c r="B898" s="183"/>
      <c r="C898" s="183"/>
      <c r="D898" s="183"/>
      <c r="E898" s="219"/>
      <c r="F898" s="219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  <c r="AA898" s="183"/>
    </row>
    <row r="899">
      <c r="A899" s="183"/>
      <c r="B899" s="183"/>
      <c r="C899" s="183"/>
      <c r="D899" s="183"/>
      <c r="E899" s="219"/>
      <c r="F899" s="219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  <c r="AA899" s="183"/>
    </row>
    <row r="900">
      <c r="A900" s="183"/>
      <c r="B900" s="183"/>
      <c r="C900" s="183"/>
      <c r="D900" s="183"/>
      <c r="E900" s="219"/>
      <c r="F900" s="219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  <c r="AA900" s="183"/>
    </row>
    <row r="901">
      <c r="A901" s="183"/>
      <c r="B901" s="183"/>
      <c r="C901" s="183"/>
      <c r="D901" s="183"/>
      <c r="E901" s="219"/>
      <c r="F901" s="219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  <c r="AA901" s="183"/>
    </row>
    <row r="902">
      <c r="A902" s="183"/>
      <c r="B902" s="183"/>
      <c r="C902" s="183"/>
      <c r="D902" s="183"/>
      <c r="E902" s="219"/>
      <c r="F902" s="219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  <c r="AA902" s="183"/>
    </row>
    <row r="903">
      <c r="A903" s="183"/>
      <c r="B903" s="183"/>
      <c r="C903" s="183"/>
      <c r="D903" s="183"/>
      <c r="E903" s="219"/>
      <c r="F903" s="219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  <c r="AA903" s="183"/>
    </row>
    <row r="904">
      <c r="A904" s="183"/>
      <c r="B904" s="183"/>
      <c r="C904" s="183"/>
      <c r="D904" s="183"/>
      <c r="E904" s="219"/>
      <c r="F904" s="219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  <c r="AA904" s="183"/>
    </row>
    <row r="905">
      <c r="A905" s="183"/>
      <c r="B905" s="183"/>
      <c r="C905" s="183"/>
      <c r="D905" s="183"/>
      <c r="E905" s="219"/>
      <c r="F905" s="219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  <c r="AA905" s="183"/>
    </row>
    <row r="906">
      <c r="A906" s="183"/>
      <c r="B906" s="183"/>
      <c r="C906" s="183"/>
      <c r="D906" s="183"/>
      <c r="E906" s="219"/>
      <c r="F906" s="219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  <c r="AA906" s="183"/>
    </row>
    <row r="907">
      <c r="A907" s="183"/>
      <c r="B907" s="183"/>
      <c r="C907" s="183"/>
      <c r="D907" s="183"/>
      <c r="E907" s="219"/>
      <c r="F907" s="219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  <c r="AA907" s="183"/>
    </row>
    <row r="908">
      <c r="A908" s="183"/>
      <c r="B908" s="183"/>
      <c r="C908" s="183"/>
      <c r="D908" s="183"/>
      <c r="E908" s="219"/>
      <c r="F908" s="219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  <c r="AA908" s="183"/>
    </row>
    <row r="909">
      <c r="A909" s="183"/>
      <c r="B909" s="183"/>
      <c r="C909" s="183"/>
      <c r="D909" s="183"/>
      <c r="E909" s="219"/>
      <c r="F909" s="219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  <c r="AA909" s="183"/>
    </row>
    <row r="910">
      <c r="A910" s="183"/>
      <c r="B910" s="183"/>
      <c r="C910" s="183"/>
      <c r="D910" s="183"/>
      <c r="E910" s="219"/>
      <c r="F910" s="219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  <c r="AA910" s="183"/>
    </row>
    <row r="911">
      <c r="A911" s="183"/>
      <c r="B911" s="183"/>
      <c r="C911" s="183"/>
      <c r="D911" s="183"/>
      <c r="E911" s="219"/>
      <c r="F911" s="219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  <c r="AA911" s="183"/>
    </row>
    <row r="912">
      <c r="A912" s="183"/>
      <c r="B912" s="183"/>
      <c r="C912" s="183"/>
      <c r="D912" s="183"/>
      <c r="E912" s="219"/>
      <c r="F912" s="219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  <c r="AA912" s="183"/>
    </row>
    <row r="913">
      <c r="A913" s="183"/>
      <c r="B913" s="183"/>
      <c r="C913" s="183"/>
      <c r="D913" s="183"/>
      <c r="E913" s="219"/>
      <c r="F913" s="219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  <c r="AA913" s="183"/>
    </row>
    <row r="914">
      <c r="A914" s="183"/>
      <c r="B914" s="183"/>
      <c r="C914" s="183"/>
      <c r="D914" s="183"/>
      <c r="E914" s="219"/>
      <c r="F914" s="219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  <c r="AA914" s="183"/>
    </row>
    <row r="915">
      <c r="A915" s="183"/>
      <c r="B915" s="183"/>
      <c r="C915" s="183"/>
      <c r="D915" s="183"/>
      <c r="E915" s="219"/>
      <c r="F915" s="219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  <c r="AA915" s="183"/>
    </row>
    <row r="916">
      <c r="A916" s="183"/>
      <c r="B916" s="183"/>
      <c r="C916" s="183"/>
      <c r="D916" s="183"/>
      <c r="E916" s="219"/>
      <c r="F916" s="219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  <c r="AA916" s="183"/>
    </row>
    <row r="917">
      <c r="A917" s="183"/>
      <c r="B917" s="183"/>
      <c r="C917" s="183"/>
      <c r="D917" s="183"/>
      <c r="E917" s="219"/>
      <c r="F917" s="219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  <c r="AA917" s="183"/>
    </row>
    <row r="918">
      <c r="A918" s="183"/>
      <c r="B918" s="183"/>
      <c r="C918" s="183"/>
      <c r="D918" s="183"/>
      <c r="E918" s="219"/>
      <c r="F918" s="219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  <c r="AA918" s="183"/>
    </row>
    <row r="919">
      <c r="A919" s="183"/>
      <c r="B919" s="183"/>
      <c r="C919" s="183"/>
      <c r="D919" s="183"/>
      <c r="E919" s="219"/>
      <c r="F919" s="219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  <c r="AA919" s="183"/>
    </row>
    <row r="920">
      <c r="A920" s="183"/>
      <c r="B920" s="183"/>
      <c r="C920" s="183"/>
      <c r="D920" s="183"/>
      <c r="E920" s="219"/>
      <c r="F920" s="219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  <c r="AA920" s="183"/>
    </row>
    <row r="921">
      <c r="A921" s="183"/>
      <c r="B921" s="183"/>
      <c r="C921" s="183"/>
      <c r="D921" s="183"/>
      <c r="E921" s="219"/>
      <c r="F921" s="219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  <c r="AA921" s="183"/>
    </row>
    <row r="922">
      <c r="A922" s="183"/>
      <c r="B922" s="183"/>
      <c r="C922" s="183"/>
      <c r="D922" s="183"/>
      <c r="E922" s="219"/>
      <c r="F922" s="219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  <c r="AA922" s="183"/>
    </row>
    <row r="923">
      <c r="A923" s="183"/>
      <c r="B923" s="183"/>
      <c r="C923" s="183"/>
      <c r="D923" s="183"/>
      <c r="E923" s="219"/>
      <c r="F923" s="219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  <c r="AA923" s="183"/>
    </row>
    <row r="924">
      <c r="A924" s="183"/>
      <c r="B924" s="183"/>
      <c r="C924" s="183"/>
      <c r="D924" s="183"/>
      <c r="E924" s="219"/>
      <c r="F924" s="219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  <c r="AA924" s="183"/>
    </row>
    <row r="925">
      <c r="A925" s="183"/>
      <c r="B925" s="183"/>
      <c r="C925" s="183"/>
      <c r="D925" s="183"/>
      <c r="E925" s="219"/>
      <c r="F925" s="219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  <c r="AA925" s="183"/>
    </row>
    <row r="926">
      <c r="A926" s="183"/>
      <c r="B926" s="183"/>
      <c r="C926" s="183"/>
      <c r="D926" s="183"/>
      <c r="E926" s="219"/>
      <c r="F926" s="219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  <c r="AA926" s="183"/>
    </row>
    <row r="927">
      <c r="A927" s="183"/>
      <c r="B927" s="183"/>
      <c r="C927" s="183"/>
      <c r="D927" s="183"/>
      <c r="E927" s="219"/>
      <c r="F927" s="219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  <c r="AA927" s="183"/>
    </row>
    <row r="928">
      <c r="A928" s="183"/>
      <c r="B928" s="183"/>
      <c r="C928" s="183"/>
      <c r="D928" s="183"/>
      <c r="E928" s="219"/>
      <c r="F928" s="219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  <c r="AA928" s="183"/>
    </row>
    <row r="929">
      <c r="A929" s="183"/>
      <c r="B929" s="183"/>
      <c r="C929" s="183"/>
      <c r="D929" s="183"/>
      <c r="E929" s="219"/>
      <c r="F929" s="219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  <c r="AA929" s="183"/>
    </row>
    <row r="930">
      <c r="A930" s="183"/>
      <c r="B930" s="183"/>
      <c r="C930" s="183"/>
      <c r="D930" s="183"/>
      <c r="E930" s="219"/>
      <c r="F930" s="219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  <c r="AA930" s="183"/>
    </row>
    <row r="931">
      <c r="A931" s="183"/>
      <c r="B931" s="183"/>
      <c r="C931" s="183"/>
      <c r="D931" s="183"/>
      <c r="E931" s="219"/>
      <c r="F931" s="219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  <c r="AA931" s="183"/>
    </row>
    <row r="932">
      <c r="A932" s="183"/>
      <c r="B932" s="183"/>
      <c r="C932" s="183"/>
      <c r="D932" s="183"/>
      <c r="E932" s="219"/>
      <c r="F932" s="219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  <c r="AA932" s="183"/>
    </row>
    <row r="933">
      <c r="A933" s="183"/>
      <c r="B933" s="183"/>
      <c r="C933" s="183"/>
      <c r="D933" s="183"/>
      <c r="E933" s="219"/>
      <c r="F933" s="219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  <c r="AA933" s="183"/>
    </row>
    <row r="934">
      <c r="A934" s="183"/>
      <c r="B934" s="183"/>
      <c r="C934" s="183"/>
      <c r="D934" s="183"/>
      <c r="E934" s="219"/>
      <c r="F934" s="219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  <c r="AA934" s="183"/>
    </row>
    <row r="935">
      <c r="A935" s="183"/>
      <c r="B935" s="183"/>
      <c r="C935" s="183"/>
      <c r="D935" s="183"/>
      <c r="E935" s="219"/>
      <c r="F935" s="219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  <c r="AA935" s="183"/>
    </row>
    <row r="936">
      <c r="A936" s="183"/>
      <c r="B936" s="183"/>
      <c r="C936" s="183"/>
      <c r="D936" s="183"/>
      <c r="E936" s="219"/>
      <c r="F936" s="219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  <c r="AA936" s="183"/>
    </row>
    <row r="937">
      <c r="A937" s="183"/>
      <c r="B937" s="183"/>
      <c r="C937" s="183"/>
      <c r="D937" s="183"/>
      <c r="E937" s="219"/>
      <c r="F937" s="219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  <c r="AA937" s="183"/>
    </row>
    <row r="938">
      <c r="A938" s="183"/>
      <c r="B938" s="183"/>
      <c r="C938" s="183"/>
      <c r="D938" s="183"/>
      <c r="E938" s="219"/>
      <c r="F938" s="219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  <c r="AA938" s="183"/>
    </row>
    <row r="939">
      <c r="A939" s="183"/>
      <c r="B939" s="183"/>
      <c r="C939" s="183"/>
      <c r="D939" s="183"/>
      <c r="E939" s="219"/>
      <c r="F939" s="219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  <c r="AA939" s="183"/>
    </row>
    <row r="940">
      <c r="A940" s="183"/>
      <c r="B940" s="183"/>
      <c r="C940" s="183"/>
      <c r="D940" s="183"/>
      <c r="E940" s="219"/>
      <c r="F940" s="219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  <c r="AA940" s="183"/>
    </row>
    <row r="941">
      <c r="A941" s="183"/>
      <c r="B941" s="183"/>
      <c r="C941" s="183"/>
      <c r="D941" s="183"/>
      <c r="E941" s="219"/>
      <c r="F941" s="219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  <c r="AA941" s="183"/>
    </row>
    <row r="942">
      <c r="A942" s="183"/>
      <c r="B942" s="183"/>
      <c r="C942" s="183"/>
      <c r="D942" s="183"/>
      <c r="E942" s="219"/>
      <c r="F942" s="219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  <c r="AA942" s="183"/>
    </row>
    <row r="943">
      <c r="A943" s="183"/>
      <c r="B943" s="183"/>
      <c r="C943" s="183"/>
      <c r="D943" s="183"/>
      <c r="E943" s="219"/>
      <c r="F943" s="219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  <c r="AA943" s="183"/>
    </row>
    <row r="944">
      <c r="A944" s="183"/>
      <c r="B944" s="183"/>
      <c r="C944" s="183"/>
      <c r="D944" s="183"/>
      <c r="E944" s="219"/>
      <c r="F944" s="219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  <c r="AA944" s="183"/>
    </row>
    <row r="945">
      <c r="A945" s="183"/>
      <c r="B945" s="183"/>
      <c r="C945" s="183"/>
      <c r="D945" s="183"/>
      <c r="E945" s="219"/>
      <c r="F945" s="219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  <c r="AA945" s="183"/>
    </row>
    <row r="946">
      <c r="A946" s="183"/>
      <c r="B946" s="183"/>
      <c r="C946" s="183"/>
      <c r="D946" s="183"/>
      <c r="E946" s="219"/>
      <c r="F946" s="219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  <c r="AA946" s="183"/>
    </row>
    <row r="947">
      <c r="A947" s="183"/>
      <c r="B947" s="183"/>
      <c r="C947" s="183"/>
      <c r="D947" s="183"/>
      <c r="E947" s="219"/>
      <c r="F947" s="219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  <c r="AA947" s="183"/>
    </row>
    <row r="948">
      <c r="A948" s="183"/>
      <c r="B948" s="183"/>
      <c r="C948" s="183"/>
      <c r="D948" s="183"/>
      <c r="E948" s="219"/>
      <c r="F948" s="219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  <c r="AA948" s="183"/>
    </row>
    <row r="949">
      <c r="A949" s="183"/>
      <c r="B949" s="183"/>
      <c r="C949" s="183"/>
      <c r="D949" s="183"/>
      <c r="E949" s="219"/>
      <c r="F949" s="219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  <c r="AA949" s="183"/>
    </row>
    <row r="950">
      <c r="A950" s="183"/>
      <c r="B950" s="183"/>
      <c r="C950" s="183"/>
      <c r="D950" s="183"/>
      <c r="E950" s="219"/>
      <c r="F950" s="219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  <c r="AA950" s="183"/>
    </row>
    <row r="951">
      <c r="A951" s="183"/>
      <c r="B951" s="183"/>
      <c r="C951" s="183"/>
      <c r="D951" s="183"/>
      <c r="E951" s="219"/>
      <c r="F951" s="219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  <c r="AA951" s="183"/>
    </row>
    <row r="952">
      <c r="A952" s="183"/>
      <c r="B952" s="183"/>
      <c r="C952" s="183"/>
      <c r="D952" s="183"/>
      <c r="E952" s="219"/>
      <c r="F952" s="219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  <c r="AA952" s="183"/>
    </row>
    <row r="953">
      <c r="A953" s="183"/>
      <c r="B953" s="183"/>
      <c r="C953" s="183"/>
      <c r="D953" s="183"/>
      <c r="E953" s="219"/>
      <c r="F953" s="219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  <c r="AA953" s="183"/>
    </row>
    <row r="954">
      <c r="A954" s="183"/>
      <c r="B954" s="183"/>
      <c r="C954" s="183"/>
      <c r="D954" s="183"/>
      <c r="E954" s="219"/>
      <c r="F954" s="219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  <c r="AA954" s="183"/>
    </row>
    <row r="955">
      <c r="A955" s="183"/>
      <c r="B955" s="183"/>
      <c r="C955" s="183"/>
      <c r="D955" s="183"/>
      <c r="E955" s="219"/>
      <c r="F955" s="219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  <c r="AA955" s="183"/>
    </row>
    <row r="956">
      <c r="A956" s="183"/>
      <c r="B956" s="183"/>
      <c r="C956" s="183"/>
      <c r="D956" s="183"/>
      <c r="E956" s="219"/>
      <c r="F956" s="219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  <c r="AA956" s="183"/>
    </row>
    <row r="957">
      <c r="A957" s="183"/>
      <c r="B957" s="183"/>
      <c r="C957" s="183"/>
      <c r="D957" s="183"/>
      <c r="E957" s="219"/>
      <c r="F957" s="219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  <c r="AA957" s="183"/>
    </row>
    <row r="958">
      <c r="A958" s="183"/>
      <c r="B958" s="183"/>
      <c r="C958" s="183"/>
      <c r="D958" s="183"/>
      <c r="E958" s="219"/>
      <c r="F958" s="219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  <c r="AA958" s="183"/>
    </row>
    <row r="959">
      <c r="A959" s="183"/>
      <c r="B959" s="183"/>
      <c r="C959" s="183"/>
      <c r="D959" s="183"/>
      <c r="E959" s="219"/>
      <c r="F959" s="219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  <c r="AA959" s="183"/>
    </row>
    <row r="960">
      <c r="A960" s="183"/>
      <c r="B960" s="183"/>
      <c r="C960" s="183"/>
      <c r="D960" s="183"/>
      <c r="E960" s="219"/>
      <c r="F960" s="219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  <c r="AA960" s="183"/>
    </row>
    <row r="961">
      <c r="A961" s="183"/>
      <c r="B961" s="183"/>
      <c r="C961" s="183"/>
      <c r="D961" s="183"/>
      <c r="E961" s="219"/>
      <c r="F961" s="219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  <c r="AA961" s="183"/>
    </row>
    <row r="962">
      <c r="A962" s="183"/>
      <c r="B962" s="183"/>
      <c r="C962" s="183"/>
      <c r="D962" s="183"/>
      <c r="E962" s="219"/>
      <c r="F962" s="219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  <c r="AA962" s="183"/>
    </row>
    <row r="963">
      <c r="A963" s="183"/>
      <c r="B963" s="183"/>
      <c r="C963" s="183"/>
      <c r="D963" s="183"/>
      <c r="E963" s="219"/>
      <c r="F963" s="219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  <c r="AA963" s="183"/>
    </row>
    <row r="964">
      <c r="A964" s="183"/>
      <c r="B964" s="183"/>
      <c r="C964" s="183"/>
      <c r="D964" s="183"/>
      <c r="E964" s="219"/>
      <c r="F964" s="219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  <c r="AA964" s="183"/>
    </row>
    <row r="965">
      <c r="A965" s="183"/>
      <c r="B965" s="183"/>
      <c r="C965" s="183"/>
      <c r="D965" s="183"/>
      <c r="E965" s="219"/>
      <c r="F965" s="219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  <c r="AA965" s="183"/>
    </row>
    <row r="966">
      <c r="A966" s="183"/>
      <c r="B966" s="183"/>
      <c r="C966" s="183"/>
      <c r="D966" s="183"/>
      <c r="E966" s="219"/>
      <c r="F966" s="219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  <c r="AA966" s="183"/>
    </row>
    <row r="967">
      <c r="A967" s="183"/>
      <c r="B967" s="183"/>
      <c r="C967" s="183"/>
      <c r="D967" s="183"/>
      <c r="E967" s="219"/>
      <c r="F967" s="219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  <c r="AA967" s="183"/>
    </row>
    <row r="968">
      <c r="A968" s="183"/>
      <c r="B968" s="183"/>
      <c r="C968" s="183"/>
      <c r="D968" s="183"/>
      <c r="E968" s="219"/>
      <c r="F968" s="219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  <c r="AA968" s="183"/>
    </row>
    <row r="969">
      <c r="A969" s="183"/>
      <c r="B969" s="183"/>
      <c r="C969" s="183"/>
      <c r="D969" s="183"/>
      <c r="E969" s="219"/>
      <c r="F969" s="219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  <c r="AA969" s="183"/>
    </row>
    <row r="970">
      <c r="A970" s="183"/>
      <c r="B970" s="183"/>
      <c r="C970" s="183"/>
      <c r="D970" s="183"/>
      <c r="E970" s="219"/>
      <c r="F970" s="219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  <c r="AA970" s="183"/>
    </row>
    <row r="971">
      <c r="A971" s="183"/>
      <c r="B971" s="183"/>
      <c r="C971" s="183"/>
      <c r="D971" s="183"/>
      <c r="E971" s="219"/>
      <c r="F971" s="219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  <c r="AA971" s="183"/>
    </row>
    <row r="972">
      <c r="A972" s="183"/>
      <c r="B972" s="183"/>
      <c r="C972" s="183"/>
      <c r="D972" s="183"/>
      <c r="E972" s="219"/>
      <c r="F972" s="219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  <c r="AA972" s="183"/>
    </row>
    <row r="973">
      <c r="A973" s="183"/>
      <c r="B973" s="183"/>
      <c r="C973" s="183"/>
      <c r="D973" s="183"/>
      <c r="E973" s="219"/>
      <c r="F973" s="219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  <c r="AA973" s="183"/>
    </row>
    <row r="974">
      <c r="A974" s="183"/>
      <c r="B974" s="183"/>
      <c r="C974" s="183"/>
      <c r="D974" s="183"/>
      <c r="E974" s="219"/>
      <c r="F974" s="219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  <c r="AA974" s="183"/>
    </row>
    <row r="975">
      <c r="A975" s="183"/>
      <c r="B975" s="183"/>
      <c r="C975" s="183"/>
      <c r="D975" s="183"/>
      <c r="E975" s="219"/>
      <c r="F975" s="219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  <c r="AA975" s="183"/>
    </row>
    <row r="976">
      <c r="A976" s="183"/>
      <c r="B976" s="183"/>
      <c r="C976" s="183"/>
      <c r="D976" s="183"/>
      <c r="E976" s="219"/>
      <c r="F976" s="219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  <c r="AA976" s="183"/>
    </row>
    <row r="977">
      <c r="A977" s="183"/>
      <c r="B977" s="183"/>
      <c r="C977" s="183"/>
      <c r="D977" s="183"/>
      <c r="E977" s="219"/>
      <c r="F977" s="219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  <c r="AA977" s="183"/>
    </row>
    <row r="978">
      <c r="A978" s="183"/>
      <c r="B978" s="183"/>
      <c r="C978" s="183"/>
      <c r="D978" s="183"/>
      <c r="E978" s="219"/>
      <c r="F978" s="219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  <c r="AA978" s="183"/>
    </row>
    <row r="979">
      <c r="A979" s="183"/>
      <c r="B979" s="183"/>
      <c r="C979" s="183"/>
      <c r="D979" s="183"/>
      <c r="E979" s="219"/>
      <c r="F979" s="219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  <c r="AA979" s="183"/>
    </row>
    <row r="980">
      <c r="A980" s="183"/>
      <c r="B980" s="183"/>
      <c r="C980" s="183"/>
      <c r="D980" s="183"/>
      <c r="E980" s="219"/>
      <c r="F980" s="219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  <c r="AA980" s="183"/>
    </row>
    <row r="981">
      <c r="A981" s="183"/>
      <c r="B981" s="183"/>
      <c r="C981" s="183"/>
      <c r="D981" s="183"/>
      <c r="E981" s="219"/>
      <c r="F981" s="219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  <c r="AA981" s="183"/>
    </row>
    <row r="982">
      <c r="A982" s="183"/>
      <c r="B982" s="183"/>
      <c r="C982" s="183"/>
      <c r="D982" s="183"/>
      <c r="E982" s="219"/>
      <c r="F982" s="219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  <c r="AA982" s="183"/>
    </row>
    <row r="983">
      <c r="A983" s="183"/>
      <c r="B983" s="183"/>
      <c r="C983" s="183"/>
      <c r="D983" s="183"/>
      <c r="E983" s="219"/>
      <c r="F983" s="219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  <c r="AA983" s="183"/>
    </row>
    <row r="984">
      <c r="A984" s="183"/>
      <c r="B984" s="183"/>
      <c r="C984" s="183"/>
      <c r="D984" s="183"/>
      <c r="E984" s="219"/>
      <c r="F984" s="219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  <c r="AA984" s="183"/>
    </row>
    <row r="985">
      <c r="A985" s="183"/>
      <c r="B985" s="183"/>
      <c r="C985" s="183"/>
      <c r="D985" s="183"/>
      <c r="E985" s="219"/>
      <c r="F985" s="219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  <c r="AA985" s="183"/>
    </row>
    <row r="986">
      <c r="A986" s="183"/>
      <c r="B986" s="183"/>
      <c r="C986" s="183"/>
      <c r="D986" s="183"/>
      <c r="E986" s="219"/>
      <c r="F986" s="219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  <c r="AA986" s="183"/>
    </row>
    <row r="987">
      <c r="A987" s="183"/>
      <c r="B987" s="183"/>
      <c r="C987" s="183"/>
      <c r="D987" s="183"/>
      <c r="E987" s="219"/>
      <c r="F987" s="219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  <c r="AA987" s="183"/>
    </row>
    <row r="988">
      <c r="A988" s="183"/>
      <c r="B988" s="183"/>
      <c r="C988" s="183"/>
      <c r="D988" s="183"/>
      <c r="E988" s="219"/>
      <c r="F988" s="219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  <c r="AA988" s="183"/>
    </row>
    <row r="989">
      <c r="A989" s="183"/>
      <c r="B989" s="183"/>
      <c r="C989" s="183"/>
      <c r="D989" s="183"/>
      <c r="E989" s="219"/>
      <c r="F989" s="219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  <c r="AA989" s="183"/>
    </row>
    <row r="990">
      <c r="A990" s="183"/>
      <c r="B990" s="183"/>
      <c r="C990" s="183"/>
      <c r="D990" s="183"/>
      <c r="E990" s="219"/>
      <c r="F990" s="219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  <c r="AA990" s="183"/>
    </row>
    <row r="991">
      <c r="A991" s="183"/>
      <c r="B991" s="183"/>
      <c r="C991" s="183"/>
      <c r="D991" s="183"/>
      <c r="E991" s="219"/>
      <c r="F991" s="219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  <c r="AA991" s="183"/>
    </row>
    <row r="992">
      <c r="A992" s="183"/>
      <c r="B992" s="183"/>
      <c r="C992" s="183"/>
      <c r="D992" s="183"/>
      <c r="E992" s="219"/>
      <c r="F992" s="219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  <c r="AA992" s="183"/>
    </row>
    <row r="993">
      <c r="A993" s="183"/>
      <c r="B993" s="183"/>
      <c r="C993" s="183"/>
      <c r="D993" s="183"/>
      <c r="E993" s="219"/>
      <c r="F993" s="219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  <c r="AA993" s="183"/>
    </row>
    <row r="994">
      <c r="A994" s="183"/>
      <c r="B994" s="183"/>
      <c r="C994" s="183"/>
      <c r="D994" s="183"/>
      <c r="E994" s="219"/>
      <c r="F994" s="219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  <c r="AA994" s="183"/>
    </row>
    <row r="995">
      <c r="A995" s="183"/>
      <c r="B995" s="183"/>
      <c r="C995" s="183"/>
      <c r="D995" s="183"/>
      <c r="E995" s="219"/>
      <c r="F995" s="219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  <c r="AA995" s="183"/>
    </row>
    <row r="996">
      <c r="A996" s="183"/>
      <c r="B996" s="183"/>
      <c r="C996" s="183"/>
      <c r="D996" s="183"/>
      <c r="E996" s="219"/>
      <c r="F996" s="219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  <c r="AA996" s="183"/>
    </row>
    <row r="997">
      <c r="A997" s="183"/>
      <c r="B997" s="183"/>
      <c r="C997" s="183"/>
      <c r="D997" s="183"/>
      <c r="E997" s="219"/>
      <c r="F997" s="219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  <c r="AA997" s="183"/>
    </row>
    <row r="998">
      <c r="A998" s="183"/>
      <c r="B998" s="183"/>
      <c r="C998" s="183"/>
      <c r="D998" s="183"/>
      <c r="E998" s="219"/>
      <c r="F998" s="219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  <c r="AA998" s="183"/>
    </row>
    <row r="999">
      <c r="A999" s="183"/>
      <c r="B999" s="183"/>
      <c r="C999" s="183"/>
      <c r="D999" s="183"/>
      <c r="E999" s="219"/>
      <c r="F999" s="219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  <c r="AA999" s="183"/>
    </row>
    <row r="1000">
      <c r="A1000" s="183"/>
      <c r="B1000" s="183"/>
      <c r="C1000" s="183"/>
      <c r="D1000" s="183"/>
      <c r="E1000" s="219"/>
      <c r="F1000" s="219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  <c r="AA1000" s="183"/>
    </row>
    <row r="1001">
      <c r="A1001" s="183"/>
      <c r="B1001" s="183"/>
      <c r="C1001" s="183"/>
      <c r="D1001" s="183"/>
      <c r="E1001" s="219"/>
      <c r="F1001" s="219"/>
      <c r="G1001" s="183"/>
      <c r="H1001" s="183"/>
      <c r="I1001" s="183"/>
      <c r="J1001" s="183"/>
      <c r="K1001" s="183"/>
      <c r="L1001" s="183"/>
      <c r="M1001" s="183"/>
      <c r="N1001" s="183"/>
      <c r="O1001" s="183"/>
      <c r="P1001" s="183"/>
      <c r="Q1001" s="183"/>
      <c r="R1001" s="183"/>
      <c r="S1001" s="183"/>
      <c r="T1001" s="183"/>
      <c r="U1001" s="183"/>
      <c r="V1001" s="183"/>
      <c r="W1001" s="183"/>
      <c r="X1001" s="183"/>
      <c r="Y1001" s="183"/>
      <c r="Z1001" s="183"/>
      <c r="AA1001" s="183"/>
    </row>
    <row r="1002">
      <c r="A1002" s="183"/>
      <c r="B1002" s="183"/>
      <c r="C1002" s="183"/>
      <c r="D1002" s="183"/>
      <c r="E1002" s="219"/>
      <c r="F1002" s="219"/>
      <c r="G1002" s="183"/>
      <c r="H1002" s="183"/>
      <c r="I1002" s="183"/>
      <c r="J1002" s="183"/>
      <c r="K1002" s="183"/>
      <c r="L1002" s="183"/>
      <c r="M1002" s="183"/>
      <c r="N1002" s="183"/>
      <c r="O1002" s="183"/>
      <c r="P1002" s="183"/>
      <c r="Q1002" s="183"/>
      <c r="R1002" s="183"/>
      <c r="S1002" s="183"/>
      <c r="T1002" s="183"/>
      <c r="U1002" s="183"/>
      <c r="V1002" s="183"/>
      <c r="W1002" s="183"/>
      <c r="X1002" s="183"/>
      <c r="Y1002" s="183"/>
      <c r="Z1002" s="183"/>
      <c r="AA1002" s="183"/>
    </row>
    <row r="1003">
      <c r="A1003" s="183"/>
      <c r="B1003" s="183"/>
      <c r="C1003" s="183"/>
      <c r="D1003" s="183"/>
      <c r="E1003" s="219"/>
      <c r="F1003" s="219"/>
      <c r="G1003" s="183"/>
      <c r="H1003" s="183"/>
      <c r="I1003" s="183"/>
      <c r="J1003" s="183"/>
      <c r="K1003" s="183"/>
      <c r="L1003" s="183"/>
      <c r="M1003" s="183"/>
      <c r="N1003" s="183"/>
      <c r="O1003" s="183"/>
      <c r="P1003" s="183"/>
      <c r="Q1003" s="183"/>
      <c r="R1003" s="183"/>
      <c r="S1003" s="183"/>
      <c r="T1003" s="183"/>
      <c r="U1003" s="183"/>
      <c r="V1003" s="183"/>
      <c r="W1003" s="183"/>
      <c r="X1003" s="183"/>
      <c r="Y1003" s="183"/>
      <c r="Z1003" s="183"/>
      <c r="AA1003" s="183"/>
    </row>
    <row r="1004">
      <c r="A1004" s="183"/>
      <c r="B1004" s="183"/>
      <c r="C1004" s="183"/>
      <c r="D1004" s="183"/>
      <c r="E1004" s="219"/>
      <c r="F1004" s="219"/>
      <c r="G1004" s="183"/>
      <c r="H1004" s="183"/>
      <c r="I1004" s="183"/>
      <c r="J1004" s="183"/>
      <c r="K1004" s="183"/>
      <c r="L1004" s="183"/>
      <c r="M1004" s="183"/>
      <c r="N1004" s="183"/>
      <c r="O1004" s="183"/>
      <c r="P1004" s="183"/>
      <c r="Q1004" s="183"/>
      <c r="R1004" s="183"/>
      <c r="S1004" s="183"/>
      <c r="T1004" s="183"/>
      <c r="U1004" s="183"/>
      <c r="V1004" s="183"/>
      <c r="W1004" s="183"/>
      <c r="X1004" s="183"/>
      <c r="Y1004" s="183"/>
      <c r="Z1004" s="183"/>
      <c r="AA1004" s="183"/>
    </row>
    <row r="1005">
      <c r="A1005" s="183"/>
      <c r="B1005" s="183"/>
      <c r="C1005" s="183"/>
      <c r="D1005" s="183"/>
      <c r="E1005" s="219"/>
      <c r="F1005" s="219"/>
      <c r="G1005" s="183"/>
      <c r="H1005" s="183"/>
      <c r="I1005" s="183"/>
      <c r="J1005" s="183"/>
      <c r="K1005" s="183"/>
      <c r="L1005" s="183"/>
      <c r="M1005" s="183"/>
      <c r="N1005" s="183"/>
      <c r="O1005" s="183"/>
      <c r="P1005" s="183"/>
      <c r="Q1005" s="183"/>
      <c r="R1005" s="183"/>
      <c r="S1005" s="183"/>
      <c r="T1005" s="183"/>
      <c r="U1005" s="183"/>
      <c r="V1005" s="183"/>
      <c r="W1005" s="183"/>
      <c r="X1005" s="183"/>
      <c r="Y1005" s="183"/>
      <c r="Z1005" s="183"/>
      <c r="AA1005" s="183"/>
    </row>
    <row r="1006">
      <c r="A1006" s="183"/>
      <c r="B1006" s="183"/>
      <c r="C1006" s="183"/>
      <c r="D1006" s="183"/>
      <c r="E1006" s="219"/>
      <c r="F1006" s="219"/>
      <c r="G1006" s="183"/>
      <c r="H1006" s="183"/>
      <c r="I1006" s="183"/>
      <c r="J1006" s="183"/>
      <c r="K1006" s="183"/>
      <c r="L1006" s="183"/>
      <c r="M1006" s="183"/>
      <c r="N1006" s="183"/>
      <c r="O1006" s="183"/>
      <c r="P1006" s="183"/>
      <c r="Q1006" s="183"/>
      <c r="R1006" s="183"/>
      <c r="S1006" s="183"/>
      <c r="T1006" s="183"/>
      <c r="U1006" s="183"/>
      <c r="V1006" s="183"/>
      <c r="W1006" s="183"/>
      <c r="X1006" s="183"/>
      <c r="Y1006" s="183"/>
      <c r="Z1006" s="183"/>
      <c r="AA1006" s="183"/>
    </row>
    <row r="1007">
      <c r="A1007" s="183"/>
      <c r="B1007" s="183"/>
      <c r="C1007" s="183"/>
      <c r="D1007" s="183"/>
      <c r="E1007" s="219"/>
      <c r="F1007" s="219"/>
      <c r="G1007" s="183"/>
      <c r="H1007" s="183"/>
      <c r="I1007" s="183"/>
      <c r="J1007" s="183"/>
      <c r="K1007" s="183"/>
      <c r="L1007" s="183"/>
      <c r="M1007" s="183"/>
      <c r="N1007" s="183"/>
      <c r="O1007" s="183"/>
      <c r="P1007" s="183"/>
      <c r="Q1007" s="183"/>
      <c r="R1007" s="183"/>
      <c r="S1007" s="183"/>
      <c r="T1007" s="183"/>
      <c r="U1007" s="183"/>
      <c r="V1007" s="183"/>
      <c r="W1007" s="183"/>
      <c r="X1007" s="183"/>
      <c r="Y1007" s="183"/>
      <c r="Z1007" s="183"/>
      <c r="AA1007" s="183"/>
    </row>
    <row r="1008">
      <c r="A1008" s="183"/>
      <c r="B1008" s="183"/>
      <c r="C1008" s="183"/>
      <c r="D1008" s="183"/>
      <c r="E1008" s="219"/>
      <c r="F1008" s="219"/>
      <c r="G1008" s="183"/>
      <c r="H1008" s="183"/>
      <c r="I1008" s="183"/>
      <c r="J1008" s="183"/>
      <c r="K1008" s="183"/>
      <c r="L1008" s="183"/>
      <c r="M1008" s="183"/>
      <c r="N1008" s="183"/>
      <c r="O1008" s="183"/>
      <c r="P1008" s="183"/>
      <c r="Q1008" s="183"/>
      <c r="R1008" s="183"/>
      <c r="S1008" s="183"/>
      <c r="T1008" s="183"/>
      <c r="U1008" s="183"/>
      <c r="V1008" s="183"/>
      <c r="W1008" s="183"/>
      <c r="X1008" s="183"/>
      <c r="Y1008" s="183"/>
      <c r="Z1008" s="183"/>
      <c r="AA1008" s="183"/>
    </row>
    <row r="1009">
      <c r="A1009" s="183"/>
      <c r="B1009" s="183"/>
      <c r="C1009" s="183"/>
      <c r="D1009" s="183"/>
      <c r="E1009" s="219"/>
      <c r="F1009" s="219"/>
      <c r="G1009" s="183"/>
      <c r="H1009" s="183"/>
      <c r="I1009" s="183"/>
      <c r="J1009" s="183"/>
      <c r="K1009" s="183"/>
      <c r="L1009" s="183"/>
      <c r="M1009" s="183"/>
      <c r="N1009" s="183"/>
      <c r="O1009" s="183"/>
      <c r="P1009" s="183"/>
      <c r="Q1009" s="183"/>
      <c r="R1009" s="183"/>
      <c r="S1009" s="183"/>
      <c r="T1009" s="183"/>
      <c r="U1009" s="183"/>
      <c r="V1009" s="183"/>
      <c r="W1009" s="183"/>
      <c r="X1009" s="183"/>
      <c r="Y1009" s="183"/>
      <c r="Z1009" s="183"/>
      <c r="AA1009" s="183"/>
    </row>
    <row r="1010">
      <c r="A1010" s="183"/>
      <c r="B1010" s="183"/>
      <c r="C1010" s="183"/>
      <c r="D1010" s="183"/>
      <c r="E1010" s="219"/>
      <c r="F1010" s="219"/>
      <c r="G1010" s="183"/>
      <c r="H1010" s="183"/>
      <c r="I1010" s="183"/>
      <c r="J1010" s="183"/>
      <c r="K1010" s="183"/>
      <c r="L1010" s="183"/>
      <c r="M1010" s="183"/>
      <c r="N1010" s="183"/>
      <c r="O1010" s="183"/>
      <c r="P1010" s="183"/>
      <c r="Q1010" s="183"/>
      <c r="R1010" s="183"/>
      <c r="S1010" s="183"/>
      <c r="T1010" s="183"/>
      <c r="U1010" s="183"/>
      <c r="V1010" s="183"/>
      <c r="W1010" s="183"/>
      <c r="X1010" s="183"/>
      <c r="Y1010" s="183"/>
      <c r="Z1010" s="183"/>
      <c r="AA1010" s="183"/>
    </row>
    <row r="1011">
      <c r="A1011" s="183"/>
      <c r="B1011" s="183"/>
      <c r="C1011" s="183"/>
      <c r="D1011" s="183"/>
      <c r="E1011" s="219"/>
      <c r="F1011" s="219"/>
      <c r="G1011" s="183"/>
      <c r="H1011" s="183"/>
      <c r="I1011" s="183"/>
      <c r="J1011" s="183"/>
      <c r="K1011" s="183"/>
      <c r="L1011" s="183"/>
      <c r="M1011" s="183"/>
      <c r="N1011" s="183"/>
      <c r="O1011" s="183"/>
      <c r="P1011" s="183"/>
      <c r="Q1011" s="183"/>
      <c r="R1011" s="183"/>
      <c r="S1011" s="183"/>
      <c r="T1011" s="183"/>
      <c r="U1011" s="183"/>
      <c r="V1011" s="183"/>
      <c r="W1011" s="183"/>
      <c r="X1011" s="183"/>
      <c r="Y1011" s="183"/>
      <c r="Z1011" s="183"/>
      <c r="AA1011" s="183"/>
    </row>
    <row r="1012">
      <c r="A1012" s="183"/>
      <c r="B1012" s="183"/>
      <c r="C1012" s="183"/>
      <c r="D1012" s="183"/>
      <c r="E1012" s="219"/>
      <c r="F1012" s="219"/>
      <c r="G1012" s="183"/>
      <c r="H1012" s="183"/>
      <c r="I1012" s="183"/>
      <c r="J1012" s="183"/>
      <c r="K1012" s="183"/>
      <c r="L1012" s="183"/>
      <c r="M1012" s="183"/>
      <c r="N1012" s="183"/>
      <c r="O1012" s="183"/>
      <c r="P1012" s="183"/>
      <c r="Q1012" s="183"/>
      <c r="R1012" s="183"/>
      <c r="S1012" s="183"/>
      <c r="T1012" s="183"/>
      <c r="U1012" s="183"/>
      <c r="V1012" s="183"/>
      <c r="W1012" s="183"/>
      <c r="X1012" s="183"/>
      <c r="Y1012" s="183"/>
      <c r="Z1012" s="183"/>
      <c r="AA1012" s="183"/>
    </row>
    <row r="1013">
      <c r="A1013" s="183"/>
      <c r="B1013" s="183"/>
      <c r="C1013" s="183"/>
      <c r="D1013" s="183"/>
      <c r="E1013" s="219"/>
      <c r="F1013" s="219"/>
      <c r="G1013" s="183"/>
      <c r="H1013" s="183"/>
      <c r="I1013" s="183"/>
      <c r="J1013" s="183"/>
      <c r="K1013" s="183"/>
      <c r="L1013" s="183"/>
      <c r="M1013" s="183"/>
      <c r="N1013" s="183"/>
      <c r="O1013" s="183"/>
      <c r="P1013" s="183"/>
      <c r="Q1013" s="183"/>
      <c r="R1013" s="183"/>
      <c r="S1013" s="183"/>
      <c r="T1013" s="183"/>
      <c r="U1013" s="183"/>
      <c r="V1013" s="183"/>
      <c r="W1013" s="183"/>
      <c r="X1013" s="183"/>
      <c r="Y1013" s="183"/>
      <c r="Z1013" s="183"/>
      <c r="AA1013" s="183"/>
    </row>
    <row r="1014">
      <c r="A1014" s="183"/>
      <c r="B1014" s="183"/>
      <c r="C1014" s="183"/>
      <c r="D1014" s="183"/>
      <c r="E1014" s="219"/>
      <c r="F1014" s="219"/>
      <c r="G1014" s="183"/>
      <c r="H1014" s="183"/>
      <c r="I1014" s="183"/>
      <c r="J1014" s="183"/>
      <c r="K1014" s="183"/>
      <c r="L1014" s="183"/>
      <c r="M1014" s="183"/>
      <c r="N1014" s="183"/>
      <c r="O1014" s="183"/>
      <c r="P1014" s="183"/>
      <c r="Q1014" s="183"/>
      <c r="R1014" s="183"/>
      <c r="S1014" s="183"/>
      <c r="T1014" s="183"/>
      <c r="U1014" s="183"/>
      <c r="V1014" s="183"/>
      <c r="W1014" s="183"/>
      <c r="X1014" s="183"/>
      <c r="Y1014" s="183"/>
      <c r="Z1014" s="183"/>
      <c r="AA1014" s="183"/>
    </row>
    <row r="1015">
      <c r="A1015" s="183"/>
      <c r="B1015" s="183"/>
      <c r="C1015" s="183"/>
      <c r="D1015" s="183"/>
      <c r="E1015" s="219"/>
      <c r="F1015" s="219"/>
      <c r="G1015" s="183"/>
      <c r="H1015" s="183"/>
      <c r="I1015" s="183"/>
      <c r="J1015" s="183"/>
      <c r="K1015" s="183"/>
      <c r="L1015" s="183"/>
      <c r="M1015" s="183"/>
      <c r="N1015" s="183"/>
      <c r="O1015" s="183"/>
      <c r="P1015" s="183"/>
      <c r="Q1015" s="183"/>
      <c r="R1015" s="183"/>
      <c r="S1015" s="183"/>
      <c r="T1015" s="183"/>
      <c r="U1015" s="183"/>
      <c r="V1015" s="183"/>
      <c r="W1015" s="183"/>
      <c r="X1015" s="183"/>
      <c r="Y1015" s="183"/>
      <c r="Z1015" s="183"/>
      <c r="AA1015" s="183"/>
    </row>
    <row r="1016">
      <c r="A1016" s="183"/>
      <c r="B1016" s="183"/>
      <c r="C1016" s="183"/>
      <c r="D1016" s="183"/>
      <c r="E1016" s="219"/>
      <c r="F1016" s="219"/>
      <c r="G1016" s="183"/>
      <c r="H1016" s="183"/>
      <c r="I1016" s="183"/>
      <c r="J1016" s="183"/>
      <c r="K1016" s="183"/>
      <c r="L1016" s="183"/>
      <c r="M1016" s="183"/>
      <c r="N1016" s="183"/>
      <c r="O1016" s="183"/>
      <c r="P1016" s="183"/>
      <c r="Q1016" s="183"/>
      <c r="R1016" s="183"/>
      <c r="S1016" s="183"/>
      <c r="T1016" s="183"/>
      <c r="U1016" s="183"/>
      <c r="V1016" s="183"/>
      <c r="W1016" s="183"/>
      <c r="X1016" s="183"/>
      <c r="Y1016" s="183"/>
      <c r="Z1016" s="183"/>
      <c r="AA1016" s="183"/>
    </row>
    <row r="1017">
      <c r="A1017" s="183"/>
      <c r="B1017" s="183"/>
      <c r="C1017" s="183"/>
      <c r="D1017" s="183"/>
      <c r="E1017" s="219"/>
      <c r="F1017" s="219"/>
      <c r="G1017" s="183"/>
      <c r="H1017" s="183"/>
      <c r="I1017" s="183"/>
      <c r="J1017" s="183"/>
      <c r="K1017" s="183"/>
      <c r="L1017" s="183"/>
      <c r="M1017" s="183"/>
      <c r="N1017" s="183"/>
      <c r="O1017" s="183"/>
      <c r="P1017" s="183"/>
      <c r="Q1017" s="183"/>
      <c r="R1017" s="183"/>
      <c r="S1017" s="183"/>
      <c r="T1017" s="183"/>
      <c r="U1017" s="183"/>
      <c r="V1017" s="183"/>
      <c r="W1017" s="183"/>
      <c r="X1017" s="183"/>
      <c r="Y1017" s="183"/>
      <c r="Z1017" s="183"/>
      <c r="AA1017" s="183"/>
    </row>
    <row r="1018">
      <c r="A1018" s="183"/>
      <c r="B1018" s="183"/>
      <c r="C1018" s="183"/>
      <c r="D1018" s="183"/>
      <c r="E1018" s="219"/>
      <c r="F1018" s="219"/>
      <c r="G1018" s="183"/>
      <c r="H1018" s="183"/>
      <c r="I1018" s="183"/>
      <c r="J1018" s="183"/>
      <c r="K1018" s="183"/>
      <c r="L1018" s="183"/>
      <c r="M1018" s="183"/>
      <c r="N1018" s="183"/>
      <c r="O1018" s="183"/>
      <c r="P1018" s="183"/>
      <c r="Q1018" s="183"/>
      <c r="R1018" s="183"/>
      <c r="S1018" s="183"/>
      <c r="T1018" s="183"/>
      <c r="U1018" s="183"/>
      <c r="V1018" s="183"/>
      <c r="W1018" s="183"/>
      <c r="X1018" s="183"/>
      <c r="Y1018" s="183"/>
      <c r="Z1018" s="183"/>
      <c r="AA1018" s="183"/>
    </row>
    <row r="1019">
      <c r="A1019" s="183"/>
      <c r="B1019" s="183"/>
      <c r="C1019" s="183"/>
      <c r="D1019" s="183"/>
      <c r="E1019" s="219"/>
      <c r="F1019" s="219"/>
      <c r="G1019" s="183"/>
      <c r="H1019" s="183"/>
      <c r="I1019" s="183"/>
      <c r="J1019" s="183"/>
      <c r="K1019" s="183"/>
      <c r="L1019" s="183"/>
      <c r="M1019" s="183"/>
      <c r="N1019" s="183"/>
      <c r="O1019" s="183"/>
      <c r="P1019" s="183"/>
      <c r="Q1019" s="183"/>
      <c r="R1019" s="183"/>
      <c r="S1019" s="183"/>
      <c r="T1019" s="183"/>
      <c r="U1019" s="183"/>
      <c r="V1019" s="183"/>
      <c r="W1019" s="183"/>
      <c r="X1019" s="183"/>
      <c r="Y1019" s="183"/>
      <c r="Z1019" s="183"/>
      <c r="AA1019" s="183"/>
    </row>
    <row r="1020">
      <c r="A1020" s="183"/>
      <c r="B1020" s="183"/>
      <c r="C1020" s="183"/>
      <c r="D1020" s="183"/>
      <c r="E1020" s="219"/>
      <c r="F1020" s="219"/>
      <c r="G1020" s="183"/>
      <c r="H1020" s="183"/>
      <c r="I1020" s="183"/>
      <c r="J1020" s="183"/>
      <c r="K1020" s="183"/>
      <c r="L1020" s="183"/>
      <c r="M1020" s="183"/>
      <c r="N1020" s="183"/>
      <c r="O1020" s="183"/>
      <c r="P1020" s="183"/>
      <c r="Q1020" s="183"/>
      <c r="R1020" s="183"/>
      <c r="S1020" s="183"/>
      <c r="T1020" s="183"/>
      <c r="U1020" s="183"/>
      <c r="V1020" s="183"/>
      <c r="W1020" s="183"/>
      <c r="X1020" s="183"/>
      <c r="Y1020" s="183"/>
      <c r="Z1020" s="183"/>
      <c r="AA1020" s="183"/>
    </row>
    <row r="1021">
      <c r="A1021" s="183"/>
      <c r="B1021" s="183"/>
      <c r="C1021" s="183"/>
      <c r="D1021" s="183"/>
      <c r="E1021" s="219"/>
      <c r="F1021" s="219"/>
      <c r="G1021" s="183"/>
      <c r="H1021" s="183"/>
      <c r="I1021" s="183"/>
      <c r="J1021" s="183"/>
      <c r="K1021" s="183"/>
      <c r="L1021" s="183"/>
      <c r="M1021" s="183"/>
      <c r="N1021" s="183"/>
      <c r="O1021" s="183"/>
      <c r="P1021" s="183"/>
      <c r="Q1021" s="183"/>
      <c r="R1021" s="183"/>
      <c r="S1021" s="183"/>
      <c r="T1021" s="183"/>
      <c r="U1021" s="183"/>
      <c r="V1021" s="183"/>
      <c r="W1021" s="183"/>
      <c r="X1021" s="183"/>
      <c r="Y1021" s="183"/>
      <c r="Z1021" s="183"/>
      <c r="AA1021" s="183"/>
    </row>
    <row r="1022">
      <c r="A1022" s="183"/>
      <c r="B1022" s="183"/>
      <c r="C1022" s="183"/>
      <c r="D1022" s="183"/>
      <c r="E1022" s="219"/>
      <c r="F1022" s="219"/>
      <c r="G1022" s="183"/>
      <c r="H1022" s="183"/>
      <c r="I1022" s="183"/>
      <c r="J1022" s="183"/>
      <c r="K1022" s="183"/>
      <c r="L1022" s="183"/>
      <c r="M1022" s="183"/>
      <c r="N1022" s="183"/>
      <c r="O1022" s="183"/>
      <c r="P1022" s="183"/>
      <c r="Q1022" s="183"/>
      <c r="R1022" s="183"/>
      <c r="S1022" s="183"/>
      <c r="T1022" s="183"/>
      <c r="U1022" s="183"/>
      <c r="V1022" s="183"/>
      <c r="W1022" s="183"/>
      <c r="X1022" s="183"/>
      <c r="Y1022" s="183"/>
      <c r="Z1022" s="183"/>
      <c r="AA1022" s="183"/>
    </row>
    <row r="1023">
      <c r="A1023" s="183"/>
      <c r="B1023" s="183"/>
      <c r="C1023" s="183"/>
      <c r="D1023" s="183"/>
      <c r="E1023" s="219"/>
      <c r="F1023" s="219"/>
      <c r="G1023" s="183"/>
      <c r="H1023" s="183"/>
      <c r="I1023" s="183"/>
      <c r="J1023" s="183"/>
      <c r="K1023" s="183"/>
      <c r="L1023" s="183"/>
      <c r="M1023" s="183"/>
      <c r="N1023" s="183"/>
      <c r="O1023" s="183"/>
      <c r="P1023" s="183"/>
      <c r="Q1023" s="183"/>
      <c r="R1023" s="183"/>
      <c r="S1023" s="183"/>
      <c r="T1023" s="183"/>
      <c r="U1023" s="183"/>
      <c r="V1023" s="183"/>
      <c r="W1023" s="183"/>
      <c r="X1023" s="183"/>
      <c r="Y1023" s="183"/>
      <c r="Z1023" s="183"/>
      <c r="AA1023" s="183"/>
    </row>
    <row r="1024">
      <c r="A1024" s="183"/>
      <c r="B1024" s="183"/>
      <c r="C1024" s="183"/>
      <c r="D1024" s="183"/>
      <c r="E1024" s="219"/>
      <c r="F1024" s="219"/>
      <c r="G1024" s="183"/>
      <c r="H1024" s="183"/>
      <c r="I1024" s="183"/>
      <c r="J1024" s="183"/>
      <c r="K1024" s="183"/>
      <c r="L1024" s="183"/>
      <c r="M1024" s="183"/>
      <c r="N1024" s="183"/>
      <c r="O1024" s="183"/>
      <c r="P1024" s="183"/>
      <c r="Q1024" s="183"/>
      <c r="R1024" s="183"/>
      <c r="S1024" s="183"/>
      <c r="T1024" s="183"/>
      <c r="U1024" s="183"/>
      <c r="V1024" s="183"/>
      <c r="W1024" s="183"/>
      <c r="X1024" s="183"/>
      <c r="Y1024" s="183"/>
      <c r="Z1024" s="183"/>
      <c r="AA1024" s="183"/>
    </row>
    <row r="1025">
      <c r="A1025" s="183"/>
      <c r="B1025" s="183"/>
      <c r="C1025" s="183"/>
      <c r="D1025" s="183"/>
      <c r="E1025" s="219"/>
      <c r="F1025" s="219"/>
      <c r="G1025" s="183"/>
      <c r="H1025" s="183"/>
      <c r="I1025" s="183"/>
      <c r="J1025" s="183"/>
      <c r="K1025" s="183"/>
      <c r="L1025" s="183"/>
      <c r="M1025" s="183"/>
      <c r="N1025" s="183"/>
      <c r="O1025" s="183"/>
      <c r="P1025" s="183"/>
      <c r="Q1025" s="183"/>
      <c r="R1025" s="183"/>
      <c r="S1025" s="183"/>
      <c r="T1025" s="183"/>
      <c r="U1025" s="183"/>
      <c r="V1025" s="183"/>
      <c r="W1025" s="183"/>
      <c r="X1025" s="183"/>
      <c r="Y1025" s="183"/>
      <c r="Z1025" s="183"/>
      <c r="AA1025" s="183"/>
    </row>
    <row r="1026">
      <c r="A1026" s="183"/>
      <c r="B1026" s="183"/>
      <c r="C1026" s="183"/>
      <c r="D1026" s="183"/>
      <c r="E1026" s="219"/>
      <c r="F1026" s="219"/>
      <c r="G1026" s="183"/>
      <c r="H1026" s="183"/>
      <c r="I1026" s="183"/>
      <c r="J1026" s="183"/>
      <c r="K1026" s="183"/>
      <c r="L1026" s="183"/>
      <c r="M1026" s="183"/>
      <c r="N1026" s="183"/>
      <c r="O1026" s="183"/>
      <c r="P1026" s="183"/>
      <c r="Q1026" s="183"/>
      <c r="R1026" s="183"/>
      <c r="S1026" s="183"/>
      <c r="T1026" s="183"/>
      <c r="U1026" s="183"/>
      <c r="V1026" s="183"/>
      <c r="W1026" s="183"/>
      <c r="X1026" s="183"/>
      <c r="Y1026" s="183"/>
      <c r="Z1026" s="183"/>
      <c r="AA1026" s="183"/>
    </row>
    <row r="1027">
      <c r="A1027" s="183"/>
      <c r="B1027" s="183"/>
      <c r="C1027" s="183"/>
      <c r="D1027" s="183"/>
      <c r="E1027" s="219"/>
      <c r="F1027" s="219"/>
      <c r="G1027" s="183"/>
      <c r="H1027" s="183"/>
      <c r="I1027" s="183"/>
      <c r="J1027" s="183"/>
      <c r="K1027" s="183"/>
      <c r="L1027" s="183"/>
      <c r="M1027" s="183"/>
      <c r="N1027" s="183"/>
      <c r="O1027" s="183"/>
      <c r="P1027" s="183"/>
      <c r="Q1027" s="183"/>
      <c r="R1027" s="183"/>
      <c r="S1027" s="183"/>
      <c r="T1027" s="183"/>
      <c r="U1027" s="183"/>
      <c r="V1027" s="183"/>
      <c r="W1027" s="183"/>
      <c r="X1027" s="183"/>
      <c r="Y1027" s="183"/>
      <c r="Z1027" s="183"/>
      <c r="AA1027" s="183"/>
    </row>
    <row r="1028">
      <c r="A1028" s="183"/>
      <c r="B1028" s="183"/>
      <c r="C1028" s="183"/>
      <c r="D1028" s="183"/>
      <c r="E1028" s="219"/>
      <c r="F1028" s="219"/>
      <c r="G1028" s="183"/>
      <c r="H1028" s="183"/>
      <c r="I1028" s="183"/>
      <c r="J1028" s="183"/>
      <c r="K1028" s="183"/>
      <c r="L1028" s="183"/>
      <c r="M1028" s="183"/>
      <c r="N1028" s="183"/>
      <c r="O1028" s="183"/>
      <c r="P1028" s="183"/>
      <c r="Q1028" s="183"/>
      <c r="R1028" s="183"/>
      <c r="S1028" s="183"/>
      <c r="T1028" s="183"/>
      <c r="U1028" s="183"/>
      <c r="V1028" s="183"/>
      <c r="W1028" s="183"/>
      <c r="X1028" s="183"/>
      <c r="Y1028" s="183"/>
      <c r="Z1028" s="183"/>
      <c r="AA1028" s="183"/>
    </row>
    <row r="1029">
      <c r="A1029" s="183"/>
      <c r="B1029" s="183"/>
      <c r="C1029" s="183"/>
      <c r="D1029" s="183"/>
      <c r="E1029" s="219"/>
      <c r="F1029" s="219"/>
      <c r="G1029" s="183"/>
      <c r="H1029" s="183"/>
      <c r="I1029" s="183"/>
      <c r="J1029" s="183"/>
      <c r="K1029" s="183"/>
      <c r="L1029" s="183"/>
      <c r="M1029" s="183"/>
      <c r="N1029" s="183"/>
      <c r="O1029" s="183"/>
      <c r="P1029" s="183"/>
      <c r="Q1029" s="183"/>
      <c r="R1029" s="183"/>
      <c r="S1029" s="183"/>
      <c r="T1029" s="183"/>
      <c r="U1029" s="183"/>
      <c r="V1029" s="183"/>
      <c r="W1029" s="183"/>
      <c r="X1029" s="183"/>
      <c r="Y1029" s="183"/>
      <c r="Z1029" s="183"/>
      <c r="AA1029" s="183"/>
    </row>
    <row r="1030">
      <c r="A1030" s="183"/>
      <c r="B1030" s="183"/>
      <c r="C1030" s="183"/>
      <c r="D1030" s="183"/>
      <c r="E1030" s="219"/>
      <c r="F1030" s="219"/>
      <c r="G1030" s="183"/>
      <c r="H1030" s="183"/>
      <c r="I1030" s="183"/>
      <c r="J1030" s="183"/>
      <c r="K1030" s="183"/>
      <c r="L1030" s="183"/>
      <c r="M1030" s="183"/>
      <c r="N1030" s="183"/>
      <c r="O1030" s="183"/>
      <c r="P1030" s="183"/>
      <c r="Q1030" s="183"/>
      <c r="R1030" s="183"/>
      <c r="S1030" s="183"/>
      <c r="T1030" s="183"/>
      <c r="U1030" s="183"/>
      <c r="V1030" s="183"/>
      <c r="W1030" s="183"/>
      <c r="X1030" s="183"/>
      <c r="Y1030" s="183"/>
      <c r="Z1030" s="183"/>
      <c r="AA1030" s="183"/>
    </row>
    <row r="1031">
      <c r="A1031" s="183"/>
      <c r="B1031" s="183"/>
      <c r="C1031" s="183"/>
      <c r="D1031" s="183"/>
      <c r="E1031" s="219"/>
      <c r="F1031" s="219"/>
      <c r="G1031" s="183"/>
      <c r="H1031" s="183"/>
      <c r="I1031" s="183"/>
      <c r="J1031" s="183"/>
      <c r="K1031" s="183"/>
      <c r="L1031" s="183"/>
      <c r="M1031" s="183"/>
      <c r="N1031" s="183"/>
      <c r="O1031" s="183"/>
      <c r="P1031" s="183"/>
      <c r="Q1031" s="183"/>
      <c r="R1031" s="183"/>
      <c r="S1031" s="183"/>
      <c r="T1031" s="183"/>
      <c r="U1031" s="183"/>
      <c r="V1031" s="183"/>
      <c r="W1031" s="183"/>
      <c r="X1031" s="183"/>
      <c r="Y1031" s="183"/>
      <c r="Z1031" s="183"/>
      <c r="AA1031" s="183"/>
    </row>
    <row r="1032">
      <c r="A1032" s="183"/>
      <c r="B1032" s="183"/>
      <c r="C1032" s="183"/>
      <c r="D1032" s="183"/>
      <c r="E1032" s="219"/>
      <c r="F1032" s="219"/>
      <c r="G1032" s="183"/>
      <c r="H1032" s="183"/>
      <c r="I1032" s="183"/>
      <c r="J1032" s="183"/>
      <c r="K1032" s="183"/>
      <c r="L1032" s="183"/>
      <c r="M1032" s="183"/>
      <c r="N1032" s="183"/>
      <c r="O1032" s="183"/>
      <c r="P1032" s="183"/>
      <c r="Q1032" s="183"/>
      <c r="R1032" s="183"/>
      <c r="S1032" s="183"/>
      <c r="T1032" s="183"/>
      <c r="U1032" s="183"/>
      <c r="V1032" s="183"/>
      <c r="W1032" s="183"/>
      <c r="X1032" s="183"/>
      <c r="Y1032" s="183"/>
      <c r="Z1032" s="183"/>
      <c r="AA1032" s="183"/>
    </row>
    <row r="1033">
      <c r="A1033" s="183"/>
      <c r="B1033" s="183"/>
      <c r="C1033" s="183"/>
      <c r="D1033" s="183"/>
      <c r="E1033" s="219"/>
      <c r="F1033" s="219"/>
      <c r="G1033" s="183"/>
      <c r="H1033" s="183"/>
      <c r="I1033" s="183"/>
      <c r="J1033" s="183"/>
      <c r="K1033" s="183"/>
      <c r="L1033" s="183"/>
      <c r="M1033" s="183"/>
      <c r="N1033" s="183"/>
      <c r="O1033" s="183"/>
      <c r="P1033" s="183"/>
      <c r="Q1033" s="183"/>
      <c r="R1033" s="183"/>
      <c r="S1033" s="183"/>
      <c r="T1033" s="183"/>
      <c r="U1033" s="183"/>
      <c r="V1033" s="183"/>
      <c r="W1033" s="183"/>
      <c r="X1033" s="183"/>
      <c r="Y1033" s="183"/>
      <c r="Z1033" s="183"/>
      <c r="AA1033" s="183"/>
    </row>
    <row r="1034">
      <c r="A1034" s="183"/>
      <c r="B1034" s="183"/>
      <c r="C1034" s="183"/>
      <c r="D1034" s="183"/>
      <c r="E1034" s="219"/>
      <c r="F1034" s="219"/>
      <c r="G1034" s="183"/>
      <c r="H1034" s="183"/>
      <c r="I1034" s="183"/>
      <c r="J1034" s="183"/>
      <c r="K1034" s="183"/>
      <c r="L1034" s="183"/>
      <c r="M1034" s="183"/>
      <c r="N1034" s="183"/>
      <c r="O1034" s="183"/>
      <c r="P1034" s="183"/>
      <c r="Q1034" s="183"/>
      <c r="R1034" s="183"/>
      <c r="S1034" s="183"/>
      <c r="T1034" s="183"/>
      <c r="U1034" s="183"/>
      <c r="V1034" s="183"/>
      <c r="W1034" s="183"/>
      <c r="X1034" s="183"/>
      <c r="Y1034" s="183"/>
      <c r="Z1034" s="183"/>
      <c r="AA1034" s="183"/>
    </row>
    <row r="1035">
      <c r="A1035" s="183"/>
      <c r="B1035" s="183"/>
      <c r="C1035" s="183"/>
      <c r="D1035" s="183"/>
      <c r="E1035" s="219"/>
      <c r="F1035" s="219"/>
      <c r="G1035" s="183"/>
      <c r="H1035" s="183"/>
      <c r="I1035" s="183"/>
      <c r="J1035" s="183"/>
      <c r="K1035" s="183"/>
      <c r="L1035" s="183"/>
      <c r="M1035" s="183"/>
      <c r="N1035" s="183"/>
      <c r="O1035" s="183"/>
      <c r="P1035" s="183"/>
      <c r="Q1035" s="183"/>
      <c r="R1035" s="183"/>
      <c r="S1035" s="183"/>
      <c r="T1035" s="183"/>
      <c r="U1035" s="183"/>
      <c r="V1035" s="183"/>
      <c r="W1035" s="183"/>
      <c r="X1035" s="183"/>
      <c r="Y1035" s="183"/>
      <c r="Z1035" s="183"/>
      <c r="AA1035" s="183"/>
    </row>
    <row r="1036">
      <c r="A1036" s="183"/>
      <c r="B1036" s="183"/>
      <c r="C1036" s="183"/>
      <c r="D1036" s="183"/>
      <c r="E1036" s="219"/>
      <c r="F1036" s="219"/>
      <c r="G1036" s="183"/>
      <c r="H1036" s="183"/>
      <c r="I1036" s="183"/>
      <c r="J1036" s="183"/>
      <c r="K1036" s="183"/>
      <c r="L1036" s="183"/>
      <c r="M1036" s="183"/>
      <c r="N1036" s="183"/>
      <c r="O1036" s="183"/>
      <c r="P1036" s="183"/>
      <c r="Q1036" s="183"/>
      <c r="R1036" s="183"/>
      <c r="S1036" s="183"/>
      <c r="T1036" s="183"/>
      <c r="U1036" s="183"/>
      <c r="V1036" s="183"/>
      <c r="W1036" s="183"/>
      <c r="X1036" s="183"/>
      <c r="Y1036" s="183"/>
      <c r="Z1036" s="183"/>
      <c r="AA1036" s="183"/>
    </row>
    <row r="1037">
      <c r="A1037" s="183"/>
      <c r="B1037" s="183"/>
      <c r="C1037" s="183"/>
      <c r="D1037" s="183"/>
      <c r="E1037" s="219"/>
      <c r="F1037" s="219"/>
      <c r="G1037" s="183"/>
      <c r="H1037" s="183"/>
      <c r="I1037" s="183"/>
      <c r="J1037" s="183"/>
      <c r="K1037" s="183"/>
      <c r="L1037" s="183"/>
      <c r="M1037" s="183"/>
      <c r="N1037" s="183"/>
      <c r="O1037" s="183"/>
      <c r="P1037" s="183"/>
      <c r="Q1037" s="183"/>
      <c r="R1037" s="183"/>
      <c r="S1037" s="183"/>
      <c r="T1037" s="183"/>
      <c r="U1037" s="183"/>
      <c r="V1037" s="183"/>
      <c r="W1037" s="183"/>
      <c r="X1037" s="183"/>
      <c r="Y1037" s="183"/>
      <c r="Z1037" s="183"/>
      <c r="AA1037" s="183"/>
    </row>
    <row r="1038">
      <c r="A1038" s="183"/>
      <c r="B1038" s="183"/>
      <c r="C1038" s="183"/>
      <c r="D1038" s="183"/>
      <c r="E1038" s="219"/>
      <c r="F1038" s="219"/>
      <c r="G1038" s="183"/>
      <c r="H1038" s="183"/>
      <c r="I1038" s="183"/>
      <c r="J1038" s="183"/>
      <c r="K1038" s="183"/>
      <c r="L1038" s="183"/>
      <c r="M1038" s="183"/>
      <c r="N1038" s="183"/>
      <c r="O1038" s="183"/>
      <c r="P1038" s="183"/>
      <c r="Q1038" s="183"/>
      <c r="R1038" s="183"/>
      <c r="S1038" s="183"/>
      <c r="T1038" s="183"/>
      <c r="U1038" s="183"/>
      <c r="V1038" s="183"/>
      <c r="W1038" s="183"/>
      <c r="X1038" s="183"/>
      <c r="Y1038" s="183"/>
      <c r="Z1038" s="183"/>
      <c r="AA1038" s="183"/>
    </row>
    <row r="1039">
      <c r="A1039" s="183"/>
      <c r="B1039" s="183"/>
      <c r="C1039" s="183"/>
      <c r="D1039" s="183"/>
      <c r="E1039" s="219"/>
      <c r="F1039" s="219"/>
      <c r="G1039" s="183"/>
      <c r="H1039" s="183"/>
      <c r="I1039" s="183"/>
      <c r="J1039" s="183"/>
      <c r="K1039" s="183"/>
      <c r="L1039" s="183"/>
      <c r="M1039" s="183"/>
      <c r="N1039" s="183"/>
      <c r="O1039" s="183"/>
      <c r="P1039" s="183"/>
      <c r="Q1039" s="183"/>
      <c r="R1039" s="183"/>
      <c r="S1039" s="183"/>
      <c r="T1039" s="183"/>
      <c r="U1039" s="183"/>
      <c r="V1039" s="183"/>
      <c r="W1039" s="183"/>
      <c r="X1039" s="183"/>
      <c r="Y1039" s="183"/>
      <c r="Z1039" s="183"/>
      <c r="AA1039" s="183"/>
    </row>
    <row r="1040">
      <c r="A1040" s="183"/>
      <c r="B1040" s="183"/>
      <c r="C1040" s="183"/>
      <c r="D1040" s="183"/>
      <c r="E1040" s="219"/>
      <c r="F1040" s="219"/>
      <c r="G1040" s="183"/>
      <c r="H1040" s="183"/>
      <c r="I1040" s="183"/>
      <c r="J1040" s="183"/>
      <c r="K1040" s="183"/>
      <c r="L1040" s="183"/>
      <c r="M1040" s="183"/>
      <c r="N1040" s="183"/>
      <c r="O1040" s="183"/>
      <c r="P1040" s="183"/>
      <c r="Q1040" s="183"/>
      <c r="R1040" s="183"/>
      <c r="S1040" s="183"/>
      <c r="T1040" s="183"/>
      <c r="U1040" s="183"/>
      <c r="V1040" s="183"/>
      <c r="W1040" s="183"/>
      <c r="X1040" s="183"/>
      <c r="Y1040" s="183"/>
      <c r="Z1040" s="183"/>
      <c r="AA1040" s="183"/>
    </row>
    <row r="1041">
      <c r="A1041" s="183"/>
      <c r="B1041" s="183"/>
      <c r="C1041" s="183"/>
      <c r="D1041" s="183"/>
      <c r="E1041" s="219"/>
      <c r="F1041" s="219"/>
      <c r="G1041" s="183"/>
      <c r="H1041" s="183"/>
      <c r="I1041" s="183"/>
      <c r="J1041" s="183"/>
      <c r="K1041" s="183"/>
      <c r="L1041" s="183"/>
      <c r="M1041" s="183"/>
      <c r="N1041" s="183"/>
      <c r="O1041" s="183"/>
      <c r="P1041" s="183"/>
      <c r="Q1041" s="183"/>
      <c r="R1041" s="183"/>
      <c r="S1041" s="183"/>
      <c r="T1041" s="183"/>
      <c r="U1041" s="183"/>
      <c r="V1041" s="183"/>
      <c r="W1041" s="183"/>
      <c r="X1041" s="183"/>
      <c r="Y1041" s="183"/>
      <c r="Z1041" s="183"/>
      <c r="AA1041" s="183"/>
    </row>
    <row r="1042">
      <c r="A1042" s="183"/>
      <c r="B1042" s="183"/>
      <c r="C1042" s="183"/>
      <c r="D1042" s="183"/>
      <c r="E1042" s="219"/>
      <c r="F1042" s="219"/>
      <c r="G1042" s="183"/>
      <c r="H1042" s="183"/>
      <c r="I1042" s="183"/>
      <c r="J1042" s="183"/>
      <c r="K1042" s="183"/>
      <c r="L1042" s="183"/>
      <c r="M1042" s="183"/>
      <c r="N1042" s="183"/>
      <c r="O1042" s="183"/>
      <c r="P1042" s="183"/>
      <c r="Q1042" s="183"/>
      <c r="R1042" s="183"/>
      <c r="S1042" s="183"/>
      <c r="T1042" s="183"/>
      <c r="U1042" s="183"/>
      <c r="V1042" s="183"/>
      <c r="W1042" s="183"/>
      <c r="X1042" s="183"/>
      <c r="Y1042" s="183"/>
      <c r="Z1042" s="183"/>
      <c r="AA1042" s="183"/>
    </row>
    <row r="1043">
      <c r="A1043" s="183"/>
      <c r="B1043" s="183"/>
      <c r="C1043" s="183"/>
      <c r="D1043" s="183"/>
      <c r="E1043" s="219"/>
      <c r="F1043" s="219"/>
      <c r="G1043" s="183"/>
      <c r="H1043" s="183"/>
      <c r="I1043" s="183"/>
      <c r="J1043" s="183"/>
      <c r="K1043" s="183"/>
      <c r="L1043" s="183"/>
      <c r="M1043" s="183"/>
      <c r="N1043" s="183"/>
      <c r="O1043" s="183"/>
      <c r="P1043" s="183"/>
      <c r="Q1043" s="183"/>
      <c r="R1043" s="183"/>
      <c r="S1043" s="183"/>
      <c r="T1043" s="183"/>
      <c r="U1043" s="183"/>
      <c r="V1043" s="183"/>
      <c r="W1043" s="183"/>
      <c r="X1043" s="183"/>
      <c r="Y1043" s="183"/>
      <c r="Z1043" s="183"/>
      <c r="AA1043" s="183"/>
    </row>
    <row r="1044">
      <c r="A1044" s="183"/>
      <c r="B1044" s="183"/>
      <c r="C1044" s="183"/>
      <c r="D1044" s="183"/>
      <c r="E1044" s="219"/>
      <c r="F1044" s="219"/>
      <c r="G1044" s="183"/>
      <c r="H1044" s="183"/>
      <c r="I1044" s="183"/>
      <c r="J1044" s="183"/>
      <c r="K1044" s="183"/>
      <c r="L1044" s="183"/>
      <c r="M1044" s="183"/>
      <c r="N1044" s="183"/>
      <c r="O1044" s="183"/>
      <c r="P1044" s="183"/>
      <c r="Q1044" s="183"/>
      <c r="R1044" s="183"/>
      <c r="S1044" s="183"/>
      <c r="T1044" s="183"/>
      <c r="U1044" s="183"/>
      <c r="V1044" s="183"/>
      <c r="W1044" s="183"/>
      <c r="X1044" s="183"/>
      <c r="Y1044" s="183"/>
      <c r="Z1044" s="183"/>
      <c r="AA1044" s="183"/>
    </row>
    <row r="1045">
      <c r="A1045" s="183"/>
      <c r="B1045" s="183"/>
      <c r="C1045" s="183"/>
      <c r="D1045" s="183"/>
      <c r="E1045" s="219"/>
      <c r="F1045" s="219"/>
      <c r="G1045" s="183"/>
      <c r="H1045" s="183"/>
      <c r="I1045" s="183"/>
      <c r="J1045" s="183"/>
      <c r="K1045" s="183"/>
      <c r="L1045" s="183"/>
      <c r="M1045" s="183"/>
      <c r="N1045" s="183"/>
      <c r="O1045" s="183"/>
      <c r="P1045" s="183"/>
      <c r="Q1045" s="183"/>
      <c r="R1045" s="183"/>
      <c r="S1045" s="183"/>
      <c r="T1045" s="183"/>
      <c r="U1045" s="183"/>
      <c r="V1045" s="183"/>
      <c r="W1045" s="183"/>
      <c r="X1045" s="183"/>
      <c r="Y1045" s="183"/>
      <c r="Z1045" s="183"/>
      <c r="AA1045" s="183"/>
    </row>
    <row r="1046">
      <c r="A1046" s="183"/>
      <c r="B1046" s="183"/>
      <c r="C1046" s="183"/>
      <c r="D1046" s="183"/>
      <c r="E1046" s="219"/>
      <c r="F1046" s="219"/>
      <c r="G1046" s="183"/>
      <c r="H1046" s="183"/>
      <c r="I1046" s="183"/>
      <c r="J1046" s="183"/>
      <c r="K1046" s="183"/>
      <c r="L1046" s="183"/>
      <c r="M1046" s="183"/>
      <c r="N1046" s="183"/>
      <c r="O1046" s="183"/>
      <c r="P1046" s="183"/>
      <c r="Q1046" s="183"/>
      <c r="R1046" s="183"/>
      <c r="S1046" s="183"/>
      <c r="T1046" s="183"/>
      <c r="U1046" s="183"/>
      <c r="V1046" s="183"/>
      <c r="W1046" s="183"/>
      <c r="X1046" s="183"/>
      <c r="Y1046" s="183"/>
      <c r="Z1046" s="183"/>
      <c r="AA1046" s="183"/>
    </row>
    <row r="1047">
      <c r="A1047" s="183"/>
      <c r="B1047" s="183"/>
      <c r="C1047" s="183"/>
      <c r="D1047" s="183"/>
      <c r="E1047" s="219"/>
      <c r="F1047" s="219"/>
      <c r="G1047" s="183"/>
      <c r="H1047" s="183"/>
      <c r="I1047" s="183"/>
      <c r="J1047" s="183"/>
      <c r="K1047" s="183"/>
      <c r="L1047" s="183"/>
      <c r="M1047" s="183"/>
      <c r="N1047" s="183"/>
      <c r="O1047" s="183"/>
      <c r="P1047" s="183"/>
      <c r="Q1047" s="183"/>
      <c r="R1047" s="183"/>
      <c r="S1047" s="183"/>
      <c r="T1047" s="183"/>
      <c r="U1047" s="183"/>
      <c r="V1047" s="183"/>
      <c r="W1047" s="183"/>
      <c r="X1047" s="183"/>
      <c r="Y1047" s="183"/>
      <c r="Z1047" s="183"/>
      <c r="AA1047" s="183"/>
    </row>
    <row r="1048">
      <c r="A1048" s="183"/>
      <c r="B1048" s="183"/>
      <c r="C1048" s="183"/>
      <c r="D1048" s="183"/>
      <c r="E1048" s="219"/>
      <c r="F1048" s="219"/>
      <c r="G1048" s="183"/>
      <c r="H1048" s="183"/>
      <c r="I1048" s="183"/>
      <c r="J1048" s="183"/>
      <c r="K1048" s="183"/>
      <c r="L1048" s="183"/>
      <c r="M1048" s="183"/>
      <c r="N1048" s="183"/>
      <c r="O1048" s="183"/>
      <c r="P1048" s="183"/>
      <c r="Q1048" s="183"/>
      <c r="R1048" s="183"/>
      <c r="S1048" s="183"/>
      <c r="T1048" s="183"/>
      <c r="U1048" s="183"/>
      <c r="V1048" s="183"/>
      <c r="W1048" s="183"/>
      <c r="X1048" s="183"/>
      <c r="Y1048" s="183"/>
      <c r="Z1048" s="183"/>
      <c r="AA1048" s="183"/>
    </row>
    <row r="1049">
      <c r="A1049" s="183"/>
      <c r="B1049" s="183"/>
      <c r="C1049" s="183"/>
      <c r="D1049" s="183"/>
      <c r="E1049" s="219"/>
      <c r="F1049" s="219"/>
      <c r="G1049" s="183"/>
      <c r="H1049" s="183"/>
      <c r="I1049" s="183"/>
      <c r="J1049" s="183"/>
      <c r="K1049" s="183"/>
      <c r="L1049" s="183"/>
      <c r="M1049" s="183"/>
      <c r="N1049" s="183"/>
      <c r="O1049" s="183"/>
      <c r="P1049" s="183"/>
      <c r="Q1049" s="183"/>
      <c r="R1049" s="183"/>
      <c r="S1049" s="183"/>
      <c r="T1049" s="183"/>
      <c r="U1049" s="183"/>
      <c r="V1049" s="183"/>
      <c r="W1049" s="183"/>
      <c r="X1049" s="183"/>
      <c r="Y1049" s="183"/>
      <c r="Z1049" s="183"/>
      <c r="AA1049" s="183"/>
    </row>
    <row r="1050">
      <c r="A1050" s="183"/>
      <c r="B1050" s="183"/>
      <c r="C1050" s="183"/>
      <c r="D1050" s="183"/>
      <c r="E1050" s="219"/>
      <c r="F1050" s="219"/>
      <c r="G1050" s="183"/>
      <c r="H1050" s="183"/>
      <c r="I1050" s="183"/>
      <c r="J1050" s="183"/>
      <c r="K1050" s="183"/>
      <c r="L1050" s="183"/>
      <c r="M1050" s="183"/>
      <c r="N1050" s="183"/>
      <c r="O1050" s="183"/>
      <c r="P1050" s="183"/>
      <c r="Q1050" s="183"/>
      <c r="R1050" s="183"/>
      <c r="S1050" s="183"/>
      <c r="T1050" s="183"/>
      <c r="U1050" s="183"/>
      <c r="V1050" s="183"/>
      <c r="W1050" s="183"/>
      <c r="X1050" s="183"/>
      <c r="Y1050" s="183"/>
      <c r="Z1050" s="183"/>
      <c r="AA1050" s="183"/>
    </row>
    <row r="1051">
      <c r="A1051" s="183"/>
      <c r="B1051" s="183"/>
      <c r="C1051" s="183"/>
      <c r="D1051" s="183"/>
      <c r="E1051" s="219"/>
      <c r="F1051" s="219"/>
      <c r="G1051" s="183"/>
      <c r="H1051" s="183"/>
      <c r="I1051" s="183"/>
      <c r="J1051" s="183"/>
      <c r="K1051" s="183"/>
      <c r="L1051" s="183"/>
      <c r="M1051" s="183"/>
      <c r="N1051" s="183"/>
      <c r="O1051" s="183"/>
      <c r="P1051" s="183"/>
      <c r="Q1051" s="183"/>
      <c r="R1051" s="183"/>
      <c r="S1051" s="183"/>
      <c r="T1051" s="183"/>
      <c r="U1051" s="183"/>
      <c r="V1051" s="183"/>
      <c r="W1051" s="183"/>
      <c r="X1051" s="183"/>
      <c r="Y1051" s="183"/>
      <c r="Z1051" s="183"/>
      <c r="AA1051" s="183"/>
    </row>
    <row r="1052">
      <c r="A1052" s="183"/>
      <c r="B1052" s="183"/>
      <c r="C1052" s="183"/>
      <c r="D1052" s="183"/>
      <c r="E1052" s="219"/>
      <c r="F1052" s="219"/>
      <c r="G1052" s="183"/>
      <c r="H1052" s="183"/>
      <c r="I1052" s="183"/>
      <c r="J1052" s="183"/>
      <c r="K1052" s="183"/>
      <c r="L1052" s="183"/>
      <c r="M1052" s="183"/>
      <c r="N1052" s="183"/>
      <c r="O1052" s="183"/>
      <c r="P1052" s="183"/>
      <c r="Q1052" s="183"/>
      <c r="R1052" s="183"/>
      <c r="S1052" s="183"/>
      <c r="T1052" s="183"/>
      <c r="U1052" s="183"/>
      <c r="V1052" s="183"/>
      <c r="W1052" s="183"/>
      <c r="X1052" s="183"/>
      <c r="Y1052" s="183"/>
      <c r="Z1052" s="183"/>
      <c r="AA1052" s="183"/>
    </row>
    <row r="1053">
      <c r="A1053" s="183"/>
      <c r="B1053" s="183"/>
      <c r="C1053" s="183"/>
      <c r="D1053" s="183"/>
      <c r="E1053" s="219"/>
      <c r="F1053" s="219"/>
      <c r="G1053" s="183"/>
      <c r="H1053" s="183"/>
      <c r="I1053" s="183"/>
      <c r="J1053" s="183"/>
      <c r="K1053" s="183"/>
      <c r="L1053" s="183"/>
      <c r="M1053" s="183"/>
      <c r="N1053" s="183"/>
      <c r="O1053" s="183"/>
      <c r="P1053" s="183"/>
      <c r="Q1053" s="183"/>
      <c r="R1053" s="183"/>
      <c r="S1053" s="183"/>
      <c r="T1053" s="183"/>
      <c r="U1053" s="183"/>
      <c r="V1053" s="183"/>
      <c r="W1053" s="183"/>
      <c r="X1053" s="183"/>
      <c r="Y1053" s="183"/>
      <c r="Z1053" s="183"/>
      <c r="AA1053" s="183"/>
    </row>
    <row r="1054">
      <c r="A1054" s="183"/>
      <c r="B1054" s="183"/>
      <c r="C1054" s="183"/>
      <c r="D1054" s="183"/>
      <c r="E1054" s="219"/>
      <c r="F1054" s="219"/>
      <c r="G1054" s="183"/>
      <c r="H1054" s="183"/>
      <c r="I1054" s="183"/>
      <c r="J1054" s="183"/>
      <c r="K1054" s="183"/>
      <c r="L1054" s="183"/>
      <c r="M1054" s="183"/>
      <c r="N1054" s="183"/>
      <c r="O1054" s="183"/>
      <c r="P1054" s="183"/>
      <c r="Q1054" s="183"/>
      <c r="R1054" s="183"/>
      <c r="S1054" s="183"/>
      <c r="T1054" s="183"/>
      <c r="U1054" s="183"/>
      <c r="V1054" s="183"/>
      <c r="W1054" s="183"/>
      <c r="X1054" s="183"/>
      <c r="Y1054" s="183"/>
      <c r="Z1054" s="183"/>
      <c r="AA1054" s="183"/>
    </row>
    <row r="1055">
      <c r="A1055" s="183"/>
      <c r="B1055" s="183"/>
      <c r="C1055" s="183"/>
      <c r="D1055" s="183"/>
      <c r="E1055" s="219"/>
      <c r="F1055" s="219"/>
      <c r="G1055" s="183"/>
      <c r="H1055" s="183"/>
      <c r="I1055" s="183"/>
      <c r="J1055" s="183"/>
      <c r="K1055" s="183"/>
      <c r="L1055" s="183"/>
      <c r="M1055" s="183"/>
      <c r="N1055" s="183"/>
      <c r="O1055" s="183"/>
      <c r="P1055" s="183"/>
      <c r="Q1055" s="183"/>
      <c r="R1055" s="183"/>
      <c r="S1055" s="183"/>
      <c r="T1055" s="183"/>
      <c r="U1055" s="183"/>
      <c r="V1055" s="183"/>
      <c r="W1055" s="183"/>
      <c r="X1055" s="183"/>
      <c r="Y1055" s="183"/>
      <c r="Z1055" s="183"/>
      <c r="AA1055" s="183"/>
    </row>
    <row r="1056">
      <c r="A1056" s="183"/>
      <c r="B1056" s="183"/>
      <c r="C1056" s="183"/>
      <c r="D1056" s="183"/>
      <c r="E1056" s="219"/>
      <c r="F1056" s="219"/>
      <c r="G1056" s="183"/>
      <c r="H1056" s="183"/>
      <c r="I1056" s="183"/>
      <c r="J1056" s="183"/>
      <c r="K1056" s="183"/>
      <c r="L1056" s="183"/>
      <c r="M1056" s="183"/>
      <c r="N1056" s="183"/>
      <c r="O1056" s="183"/>
      <c r="P1056" s="183"/>
      <c r="Q1056" s="183"/>
      <c r="R1056" s="183"/>
      <c r="S1056" s="183"/>
      <c r="T1056" s="183"/>
      <c r="U1056" s="183"/>
      <c r="V1056" s="183"/>
      <c r="W1056" s="183"/>
      <c r="X1056" s="183"/>
      <c r="Y1056" s="183"/>
      <c r="Z1056" s="183"/>
      <c r="AA1056" s="183"/>
    </row>
    <row r="1057">
      <c r="A1057" s="183"/>
      <c r="B1057" s="183"/>
      <c r="C1057" s="183"/>
      <c r="D1057" s="183"/>
      <c r="E1057" s="219"/>
      <c r="F1057" s="219"/>
      <c r="G1057" s="183"/>
      <c r="H1057" s="183"/>
      <c r="I1057" s="183"/>
      <c r="J1057" s="183"/>
      <c r="K1057" s="183"/>
      <c r="L1057" s="183"/>
      <c r="M1057" s="183"/>
      <c r="N1057" s="183"/>
      <c r="O1057" s="183"/>
      <c r="P1057" s="183"/>
      <c r="Q1057" s="183"/>
      <c r="R1057" s="183"/>
      <c r="S1057" s="183"/>
      <c r="T1057" s="183"/>
      <c r="U1057" s="183"/>
      <c r="V1057" s="183"/>
      <c r="W1057" s="183"/>
      <c r="X1057" s="183"/>
      <c r="Y1057" s="183"/>
      <c r="Z1057" s="183"/>
      <c r="AA1057" s="183"/>
    </row>
    <row r="1058">
      <c r="A1058" s="183"/>
      <c r="B1058" s="183"/>
      <c r="C1058" s="183"/>
      <c r="D1058" s="183"/>
      <c r="E1058" s="219"/>
      <c r="F1058" s="219"/>
      <c r="G1058" s="183"/>
      <c r="H1058" s="183"/>
      <c r="I1058" s="183"/>
      <c r="J1058" s="183"/>
      <c r="K1058" s="183"/>
      <c r="L1058" s="183"/>
      <c r="M1058" s="183"/>
      <c r="N1058" s="183"/>
      <c r="O1058" s="183"/>
      <c r="P1058" s="183"/>
      <c r="Q1058" s="183"/>
      <c r="R1058" s="183"/>
      <c r="S1058" s="183"/>
      <c r="T1058" s="183"/>
      <c r="U1058" s="183"/>
      <c r="V1058" s="183"/>
      <c r="W1058" s="183"/>
      <c r="X1058" s="183"/>
      <c r="Y1058" s="183"/>
      <c r="Z1058" s="183"/>
      <c r="AA1058" s="183"/>
    </row>
    <row r="1059">
      <c r="A1059" s="183"/>
      <c r="B1059" s="183"/>
      <c r="C1059" s="183"/>
      <c r="D1059" s="183"/>
      <c r="E1059" s="219"/>
      <c r="F1059" s="219"/>
      <c r="G1059" s="183"/>
      <c r="H1059" s="183"/>
      <c r="I1059" s="183"/>
      <c r="J1059" s="183"/>
      <c r="K1059" s="183"/>
      <c r="L1059" s="183"/>
      <c r="M1059" s="183"/>
      <c r="N1059" s="183"/>
      <c r="O1059" s="183"/>
      <c r="P1059" s="183"/>
      <c r="Q1059" s="183"/>
      <c r="R1059" s="183"/>
      <c r="S1059" s="183"/>
      <c r="T1059" s="183"/>
      <c r="U1059" s="183"/>
      <c r="V1059" s="183"/>
      <c r="W1059" s="183"/>
      <c r="X1059" s="183"/>
      <c r="Y1059" s="183"/>
      <c r="Z1059" s="183"/>
      <c r="AA1059" s="183"/>
    </row>
    <row r="1060">
      <c r="A1060" s="183"/>
      <c r="B1060" s="183"/>
      <c r="C1060" s="183"/>
      <c r="D1060" s="183"/>
      <c r="E1060" s="219"/>
      <c r="F1060" s="219"/>
      <c r="G1060" s="183"/>
      <c r="H1060" s="183"/>
      <c r="I1060" s="183"/>
      <c r="J1060" s="183"/>
      <c r="K1060" s="183"/>
      <c r="L1060" s="183"/>
      <c r="M1060" s="183"/>
      <c r="N1060" s="183"/>
      <c r="O1060" s="183"/>
      <c r="P1060" s="183"/>
      <c r="Q1060" s="183"/>
      <c r="R1060" s="183"/>
      <c r="S1060" s="183"/>
      <c r="T1060" s="183"/>
      <c r="U1060" s="183"/>
      <c r="V1060" s="183"/>
      <c r="W1060" s="183"/>
      <c r="X1060" s="183"/>
      <c r="Y1060" s="183"/>
      <c r="Z1060" s="183"/>
      <c r="AA1060" s="183"/>
    </row>
    <row r="1061">
      <c r="A1061" s="183"/>
      <c r="B1061" s="183"/>
      <c r="C1061" s="183"/>
      <c r="D1061" s="183"/>
      <c r="E1061" s="219"/>
      <c r="F1061" s="219"/>
      <c r="G1061" s="183"/>
      <c r="H1061" s="183"/>
      <c r="I1061" s="183"/>
      <c r="J1061" s="183"/>
      <c r="K1061" s="183"/>
      <c r="L1061" s="183"/>
      <c r="M1061" s="183"/>
      <c r="N1061" s="183"/>
      <c r="O1061" s="183"/>
      <c r="P1061" s="183"/>
      <c r="Q1061" s="183"/>
      <c r="R1061" s="183"/>
      <c r="S1061" s="183"/>
      <c r="T1061" s="183"/>
      <c r="U1061" s="183"/>
      <c r="V1061" s="183"/>
      <c r="W1061" s="183"/>
      <c r="X1061" s="183"/>
      <c r="Y1061" s="183"/>
      <c r="Z1061" s="183"/>
      <c r="AA1061" s="183"/>
    </row>
    <row r="1062">
      <c r="A1062" s="183"/>
      <c r="B1062" s="183"/>
      <c r="C1062" s="183"/>
      <c r="D1062" s="183"/>
      <c r="E1062" s="219"/>
      <c r="F1062" s="219"/>
      <c r="G1062" s="183"/>
      <c r="H1062" s="183"/>
      <c r="I1062" s="183"/>
      <c r="J1062" s="183"/>
      <c r="K1062" s="183"/>
      <c r="L1062" s="183"/>
      <c r="M1062" s="183"/>
      <c r="N1062" s="183"/>
      <c r="O1062" s="183"/>
      <c r="P1062" s="183"/>
      <c r="Q1062" s="183"/>
      <c r="R1062" s="183"/>
      <c r="S1062" s="183"/>
      <c r="T1062" s="183"/>
      <c r="U1062" s="183"/>
      <c r="V1062" s="183"/>
      <c r="W1062" s="183"/>
      <c r="X1062" s="183"/>
      <c r="Y1062" s="183"/>
      <c r="Z1062" s="183"/>
      <c r="AA1062" s="183"/>
    </row>
    <row r="1063">
      <c r="A1063" s="183"/>
      <c r="B1063" s="183"/>
      <c r="C1063" s="183"/>
      <c r="D1063" s="183"/>
      <c r="E1063" s="219"/>
      <c r="F1063" s="219"/>
      <c r="G1063" s="183"/>
      <c r="H1063" s="183"/>
      <c r="I1063" s="183"/>
      <c r="J1063" s="183"/>
      <c r="K1063" s="183"/>
      <c r="L1063" s="183"/>
      <c r="M1063" s="183"/>
      <c r="N1063" s="183"/>
      <c r="O1063" s="183"/>
      <c r="P1063" s="183"/>
      <c r="Q1063" s="183"/>
      <c r="R1063" s="183"/>
      <c r="S1063" s="183"/>
      <c r="T1063" s="183"/>
      <c r="U1063" s="183"/>
      <c r="V1063" s="183"/>
      <c r="W1063" s="183"/>
      <c r="X1063" s="183"/>
      <c r="Y1063" s="183"/>
      <c r="Z1063" s="183"/>
      <c r="AA1063" s="183"/>
    </row>
    <row r="1064">
      <c r="A1064" s="183"/>
      <c r="B1064" s="183"/>
      <c r="C1064" s="183"/>
      <c r="D1064" s="183"/>
      <c r="E1064" s="219"/>
      <c r="F1064" s="219"/>
      <c r="G1064" s="183"/>
      <c r="H1064" s="183"/>
      <c r="I1064" s="183"/>
      <c r="J1064" s="183"/>
      <c r="K1064" s="183"/>
      <c r="L1064" s="183"/>
      <c r="M1064" s="183"/>
      <c r="N1064" s="183"/>
      <c r="O1064" s="183"/>
      <c r="P1064" s="183"/>
      <c r="Q1064" s="183"/>
      <c r="R1064" s="183"/>
      <c r="S1064" s="183"/>
      <c r="T1064" s="183"/>
      <c r="U1064" s="183"/>
      <c r="V1064" s="183"/>
      <c r="W1064" s="183"/>
      <c r="X1064" s="183"/>
      <c r="Y1064" s="183"/>
      <c r="Z1064" s="183"/>
      <c r="AA1064" s="183"/>
    </row>
    <row r="1065">
      <c r="A1065" s="183"/>
      <c r="B1065" s="183"/>
      <c r="C1065" s="183"/>
      <c r="D1065" s="183"/>
      <c r="E1065" s="219"/>
      <c r="F1065" s="219"/>
      <c r="G1065" s="183"/>
      <c r="H1065" s="183"/>
      <c r="I1065" s="183"/>
      <c r="J1065" s="183"/>
      <c r="K1065" s="183"/>
      <c r="L1065" s="183"/>
      <c r="M1065" s="183"/>
      <c r="N1065" s="183"/>
      <c r="O1065" s="183"/>
      <c r="P1065" s="183"/>
      <c r="Q1065" s="183"/>
      <c r="R1065" s="183"/>
      <c r="S1065" s="183"/>
      <c r="T1065" s="183"/>
      <c r="U1065" s="183"/>
      <c r="V1065" s="183"/>
      <c r="W1065" s="183"/>
      <c r="X1065" s="183"/>
      <c r="Y1065" s="183"/>
      <c r="Z1065" s="183"/>
      <c r="AA1065" s="183"/>
    </row>
    <row r="1066">
      <c r="A1066" s="183"/>
      <c r="B1066" s="183"/>
      <c r="C1066" s="183"/>
      <c r="D1066" s="183"/>
      <c r="E1066" s="219"/>
      <c r="F1066" s="219"/>
      <c r="G1066" s="183"/>
      <c r="H1066" s="183"/>
      <c r="I1066" s="183"/>
      <c r="J1066" s="183"/>
      <c r="K1066" s="183"/>
      <c r="L1066" s="183"/>
      <c r="M1066" s="183"/>
      <c r="N1066" s="183"/>
      <c r="O1066" s="183"/>
      <c r="P1066" s="183"/>
      <c r="Q1066" s="183"/>
      <c r="R1066" s="183"/>
      <c r="S1066" s="183"/>
      <c r="T1066" s="183"/>
      <c r="U1066" s="183"/>
      <c r="V1066" s="183"/>
      <c r="W1066" s="183"/>
      <c r="X1066" s="183"/>
      <c r="Y1066" s="183"/>
      <c r="Z1066" s="183"/>
      <c r="AA1066" s="183"/>
    </row>
    <row r="1067">
      <c r="A1067" s="183"/>
      <c r="B1067" s="183"/>
      <c r="C1067" s="183"/>
      <c r="D1067" s="183"/>
      <c r="E1067" s="219"/>
      <c r="F1067" s="219"/>
      <c r="G1067" s="183"/>
      <c r="H1067" s="183"/>
      <c r="I1067" s="183"/>
      <c r="J1067" s="183"/>
      <c r="K1067" s="183"/>
      <c r="L1067" s="183"/>
      <c r="M1067" s="183"/>
      <c r="N1067" s="183"/>
      <c r="O1067" s="183"/>
      <c r="P1067" s="183"/>
      <c r="Q1067" s="183"/>
      <c r="R1067" s="183"/>
      <c r="S1067" s="183"/>
      <c r="T1067" s="183"/>
      <c r="U1067" s="183"/>
      <c r="V1067" s="183"/>
      <c r="W1067" s="183"/>
      <c r="X1067" s="183"/>
      <c r="Y1067" s="183"/>
      <c r="Z1067" s="183"/>
      <c r="AA1067" s="183"/>
    </row>
    <row r="1068">
      <c r="A1068" s="183"/>
      <c r="B1068" s="183"/>
      <c r="C1068" s="183"/>
      <c r="D1068" s="183"/>
      <c r="E1068" s="219"/>
      <c r="F1068" s="219"/>
      <c r="G1068" s="183"/>
      <c r="H1068" s="183"/>
      <c r="I1068" s="183"/>
      <c r="J1068" s="183"/>
      <c r="K1068" s="183"/>
      <c r="L1068" s="183"/>
      <c r="M1068" s="183"/>
      <c r="N1068" s="183"/>
      <c r="O1068" s="183"/>
      <c r="P1068" s="183"/>
      <c r="Q1068" s="183"/>
      <c r="R1068" s="183"/>
      <c r="S1068" s="183"/>
      <c r="T1068" s="183"/>
      <c r="U1068" s="183"/>
      <c r="V1068" s="183"/>
      <c r="W1068" s="183"/>
      <c r="X1068" s="183"/>
      <c r="Y1068" s="183"/>
      <c r="Z1068" s="183"/>
      <c r="AA1068" s="183"/>
    </row>
    <row r="1069">
      <c r="A1069" s="183"/>
      <c r="B1069" s="183"/>
      <c r="C1069" s="183"/>
      <c r="D1069" s="183"/>
      <c r="E1069" s="219"/>
      <c r="F1069" s="219"/>
      <c r="G1069" s="183"/>
      <c r="H1069" s="183"/>
      <c r="I1069" s="183"/>
      <c r="J1069" s="183"/>
      <c r="K1069" s="183"/>
      <c r="L1069" s="183"/>
      <c r="M1069" s="183"/>
      <c r="N1069" s="183"/>
      <c r="O1069" s="183"/>
      <c r="P1069" s="183"/>
      <c r="Q1069" s="183"/>
      <c r="R1069" s="183"/>
      <c r="S1069" s="183"/>
      <c r="T1069" s="183"/>
      <c r="U1069" s="183"/>
      <c r="V1069" s="183"/>
      <c r="W1069" s="183"/>
      <c r="X1069" s="183"/>
      <c r="Y1069" s="183"/>
      <c r="Z1069" s="183"/>
      <c r="AA1069" s="183"/>
    </row>
    <row r="1070">
      <c r="A1070" s="183"/>
      <c r="B1070" s="183"/>
      <c r="C1070" s="183"/>
      <c r="D1070" s="183"/>
      <c r="E1070" s="219"/>
      <c r="F1070" s="219"/>
      <c r="G1070" s="183"/>
      <c r="H1070" s="183"/>
      <c r="I1070" s="183"/>
      <c r="J1070" s="183"/>
      <c r="K1070" s="183"/>
      <c r="L1070" s="183"/>
      <c r="M1070" s="183"/>
      <c r="N1070" s="183"/>
      <c r="O1070" s="183"/>
      <c r="P1070" s="183"/>
      <c r="Q1070" s="183"/>
      <c r="R1070" s="183"/>
      <c r="S1070" s="183"/>
      <c r="T1070" s="183"/>
      <c r="U1070" s="183"/>
      <c r="V1070" s="183"/>
      <c r="W1070" s="183"/>
      <c r="X1070" s="183"/>
      <c r="Y1070" s="183"/>
      <c r="Z1070" s="183"/>
      <c r="AA1070" s="183"/>
    </row>
    <row r="1071">
      <c r="A1071" s="183"/>
      <c r="B1071" s="183"/>
      <c r="C1071" s="183"/>
      <c r="D1071" s="183"/>
      <c r="E1071" s="219"/>
      <c r="F1071" s="219"/>
      <c r="G1071" s="183"/>
      <c r="H1071" s="183"/>
      <c r="I1071" s="183"/>
      <c r="J1071" s="183"/>
      <c r="K1071" s="183"/>
      <c r="L1071" s="183"/>
      <c r="M1071" s="183"/>
      <c r="N1071" s="183"/>
      <c r="O1071" s="183"/>
      <c r="P1071" s="183"/>
      <c r="Q1071" s="183"/>
      <c r="R1071" s="183"/>
      <c r="S1071" s="183"/>
      <c r="T1071" s="183"/>
      <c r="U1071" s="183"/>
      <c r="V1071" s="183"/>
      <c r="W1071" s="183"/>
      <c r="X1071" s="183"/>
      <c r="Y1071" s="183"/>
      <c r="Z1071" s="183"/>
      <c r="AA1071" s="183"/>
    </row>
    <row r="1072">
      <c r="A1072" s="183"/>
      <c r="B1072" s="183"/>
      <c r="C1072" s="183"/>
      <c r="D1072" s="183"/>
      <c r="E1072" s="219"/>
      <c r="F1072" s="219"/>
      <c r="G1072" s="183"/>
      <c r="H1072" s="183"/>
      <c r="I1072" s="183"/>
      <c r="J1072" s="183"/>
      <c r="K1072" s="183"/>
      <c r="L1072" s="183"/>
      <c r="M1072" s="183"/>
      <c r="N1072" s="183"/>
      <c r="O1072" s="183"/>
      <c r="P1072" s="183"/>
      <c r="Q1072" s="183"/>
      <c r="R1072" s="183"/>
      <c r="S1072" s="183"/>
      <c r="T1072" s="183"/>
      <c r="U1072" s="183"/>
      <c r="V1072" s="183"/>
      <c r="W1072" s="183"/>
      <c r="X1072" s="183"/>
      <c r="Y1072" s="183"/>
      <c r="Z1072" s="183"/>
      <c r="AA1072" s="183"/>
    </row>
    <row r="1073">
      <c r="A1073" s="183"/>
      <c r="B1073" s="183"/>
      <c r="C1073" s="183"/>
      <c r="D1073" s="183"/>
      <c r="E1073" s="219"/>
      <c r="F1073" s="219"/>
      <c r="G1073" s="183"/>
      <c r="H1073" s="183"/>
      <c r="I1073" s="183"/>
      <c r="J1073" s="183"/>
      <c r="K1073" s="183"/>
      <c r="L1073" s="183"/>
      <c r="M1073" s="183"/>
      <c r="N1073" s="183"/>
      <c r="O1073" s="183"/>
      <c r="P1073" s="183"/>
      <c r="Q1073" s="183"/>
      <c r="R1073" s="183"/>
      <c r="S1073" s="183"/>
      <c r="T1073" s="183"/>
      <c r="U1073" s="183"/>
      <c r="V1073" s="183"/>
      <c r="W1073" s="183"/>
      <c r="X1073" s="183"/>
      <c r="Y1073" s="183"/>
      <c r="Z1073" s="183"/>
      <c r="AA1073" s="183"/>
    </row>
    <row r="1074">
      <c r="A1074" s="183"/>
      <c r="B1074" s="183"/>
      <c r="C1074" s="183"/>
      <c r="D1074" s="183"/>
      <c r="E1074" s="219"/>
      <c r="F1074" s="219"/>
      <c r="G1074" s="183"/>
      <c r="H1074" s="183"/>
      <c r="I1074" s="183"/>
      <c r="J1074" s="183"/>
      <c r="K1074" s="183"/>
      <c r="L1074" s="183"/>
      <c r="M1074" s="183"/>
      <c r="N1074" s="183"/>
      <c r="O1074" s="183"/>
      <c r="P1074" s="183"/>
      <c r="Q1074" s="183"/>
      <c r="R1074" s="183"/>
      <c r="S1074" s="183"/>
      <c r="T1074" s="183"/>
      <c r="U1074" s="183"/>
      <c r="V1074" s="183"/>
      <c r="W1074" s="183"/>
      <c r="X1074" s="183"/>
      <c r="Y1074" s="183"/>
      <c r="Z1074" s="183"/>
      <c r="AA1074" s="183"/>
    </row>
    <row r="1075">
      <c r="A1075" s="183"/>
      <c r="B1075" s="183"/>
      <c r="C1075" s="183"/>
      <c r="D1075" s="183"/>
      <c r="E1075" s="219"/>
      <c r="F1075" s="219"/>
      <c r="G1075" s="183"/>
      <c r="H1075" s="183"/>
      <c r="I1075" s="183"/>
      <c r="J1075" s="183"/>
      <c r="K1075" s="183"/>
      <c r="L1075" s="183"/>
      <c r="M1075" s="183"/>
      <c r="N1075" s="183"/>
      <c r="O1075" s="183"/>
      <c r="P1075" s="183"/>
      <c r="Q1075" s="183"/>
      <c r="R1075" s="183"/>
      <c r="S1075" s="183"/>
      <c r="T1075" s="183"/>
      <c r="U1075" s="183"/>
      <c r="V1075" s="183"/>
      <c r="W1075" s="183"/>
      <c r="X1075" s="183"/>
      <c r="Y1075" s="183"/>
      <c r="Z1075" s="183"/>
      <c r="AA1075" s="183"/>
    </row>
    <row r="1076">
      <c r="A1076" s="183"/>
      <c r="B1076" s="183"/>
      <c r="C1076" s="183"/>
      <c r="D1076" s="183"/>
      <c r="E1076" s="219"/>
      <c r="F1076" s="219"/>
      <c r="G1076" s="183"/>
      <c r="H1076" s="183"/>
      <c r="I1076" s="183"/>
      <c r="J1076" s="183"/>
      <c r="K1076" s="183"/>
      <c r="L1076" s="183"/>
      <c r="M1076" s="183"/>
      <c r="N1076" s="183"/>
      <c r="O1076" s="183"/>
      <c r="P1076" s="183"/>
      <c r="Q1076" s="183"/>
      <c r="R1076" s="183"/>
      <c r="S1076" s="183"/>
      <c r="T1076" s="183"/>
      <c r="U1076" s="183"/>
      <c r="V1076" s="183"/>
      <c r="W1076" s="183"/>
      <c r="X1076" s="183"/>
      <c r="Y1076" s="183"/>
      <c r="Z1076" s="183"/>
      <c r="AA1076" s="183"/>
    </row>
    <row r="1077">
      <c r="A1077" s="183"/>
      <c r="B1077" s="183"/>
      <c r="C1077" s="183"/>
      <c r="D1077" s="183"/>
      <c r="E1077" s="219"/>
      <c r="F1077" s="219"/>
      <c r="G1077" s="183"/>
      <c r="H1077" s="183"/>
      <c r="I1077" s="183"/>
      <c r="J1077" s="183"/>
      <c r="K1077" s="183"/>
      <c r="L1077" s="183"/>
      <c r="M1077" s="183"/>
      <c r="N1077" s="183"/>
      <c r="O1077" s="183"/>
      <c r="P1077" s="183"/>
      <c r="Q1077" s="183"/>
      <c r="R1077" s="183"/>
      <c r="S1077" s="183"/>
      <c r="T1077" s="183"/>
      <c r="U1077" s="183"/>
      <c r="V1077" s="183"/>
      <c r="W1077" s="183"/>
      <c r="X1077" s="183"/>
      <c r="Y1077" s="183"/>
      <c r="Z1077" s="183"/>
      <c r="AA1077" s="183"/>
    </row>
    <row r="1078">
      <c r="A1078" s="183"/>
      <c r="B1078" s="183"/>
      <c r="C1078" s="183"/>
      <c r="D1078" s="183"/>
      <c r="E1078" s="219"/>
      <c r="F1078" s="219"/>
      <c r="G1078" s="183"/>
      <c r="H1078" s="183"/>
      <c r="I1078" s="183"/>
      <c r="J1078" s="183"/>
      <c r="K1078" s="183"/>
      <c r="L1078" s="183"/>
      <c r="M1078" s="183"/>
      <c r="N1078" s="183"/>
      <c r="O1078" s="183"/>
      <c r="P1078" s="183"/>
      <c r="Q1078" s="183"/>
      <c r="R1078" s="183"/>
      <c r="S1078" s="183"/>
      <c r="T1078" s="183"/>
      <c r="U1078" s="183"/>
      <c r="V1078" s="183"/>
      <c r="W1078" s="183"/>
      <c r="X1078" s="183"/>
      <c r="Y1078" s="183"/>
      <c r="Z1078" s="183"/>
      <c r="AA1078" s="183"/>
    </row>
    <row r="1079">
      <c r="A1079" s="183"/>
      <c r="B1079" s="183"/>
      <c r="C1079" s="183"/>
      <c r="D1079" s="183"/>
      <c r="E1079" s="219"/>
      <c r="F1079" s="219"/>
      <c r="G1079" s="183"/>
      <c r="H1079" s="183"/>
      <c r="I1079" s="183"/>
      <c r="J1079" s="183"/>
      <c r="K1079" s="183"/>
      <c r="L1079" s="183"/>
      <c r="M1079" s="183"/>
      <c r="N1079" s="183"/>
      <c r="O1079" s="183"/>
      <c r="P1079" s="183"/>
      <c r="Q1079" s="183"/>
      <c r="R1079" s="183"/>
      <c r="S1079" s="183"/>
      <c r="T1079" s="183"/>
      <c r="U1079" s="183"/>
      <c r="V1079" s="183"/>
      <c r="W1079" s="183"/>
      <c r="X1079" s="183"/>
      <c r="Y1079" s="183"/>
      <c r="Z1079" s="183"/>
      <c r="AA1079" s="183"/>
    </row>
    <row r="1080">
      <c r="A1080" s="183"/>
      <c r="B1080" s="183"/>
      <c r="C1080" s="183"/>
      <c r="D1080" s="183"/>
      <c r="E1080" s="219"/>
      <c r="F1080" s="219"/>
      <c r="G1080" s="183"/>
      <c r="H1080" s="183"/>
      <c r="I1080" s="183"/>
      <c r="J1080" s="183"/>
      <c r="K1080" s="183"/>
      <c r="L1080" s="183"/>
      <c r="M1080" s="183"/>
      <c r="N1080" s="183"/>
      <c r="O1080" s="183"/>
      <c r="P1080" s="183"/>
      <c r="Q1080" s="183"/>
      <c r="R1080" s="183"/>
      <c r="S1080" s="183"/>
      <c r="T1080" s="183"/>
      <c r="U1080" s="183"/>
      <c r="V1080" s="183"/>
      <c r="W1080" s="183"/>
      <c r="X1080" s="183"/>
      <c r="Y1080" s="183"/>
      <c r="Z1080" s="183"/>
      <c r="AA1080" s="183"/>
    </row>
    <row r="1081">
      <c r="A1081" s="183"/>
      <c r="B1081" s="183"/>
      <c r="C1081" s="183"/>
      <c r="D1081" s="183"/>
      <c r="E1081" s="219"/>
      <c r="F1081" s="219"/>
      <c r="G1081" s="183"/>
      <c r="H1081" s="183"/>
      <c r="I1081" s="183"/>
      <c r="J1081" s="183"/>
      <c r="K1081" s="183"/>
      <c r="L1081" s="183"/>
      <c r="M1081" s="183"/>
      <c r="N1081" s="183"/>
      <c r="O1081" s="183"/>
      <c r="P1081" s="183"/>
      <c r="Q1081" s="183"/>
      <c r="R1081" s="183"/>
      <c r="S1081" s="183"/>
      <c r="T1081" s="183"/>
      <c r="U1081" s="183"/>
      <c r="V1081" s="183"/>
      <c r="W1081" s="183"/>
      <c r="X1081" s="183"/>
      <c r="Y1081" s="183"/>
      <c r="Z1081" s="183"/>
      <c r="AA1081" s="183"/>
    </row>
    <row r="1082">
      <c r="A1082" s="183"/>
      <c r="B1082" s="183"/>
      <c r="C1082" s="183"/>
      <c r="D1082" s="183"/>
      <c r="E1082" s="219"/>
      <c r="F1082" s="219"/>
      <c r="G1082" s="183"/>
      <c r="H1082" s="183"/>
      <c r="I1082" s="183"/>
      <c r="J1082" s="183"/>
      <c r="K1082" s="183"/>
      <c r="L1082" s="183"/>
      <c r="M1082" s="183"/>
      <c r="N1082" s="183"/>
      <c r="O1082" s="183"/>
      <c r="P1082" s="183"/>
      <c r="Q1082" s="183"/>
      <c r="R1082" s="183"/>
      <c r="S1082" s="183"/>
      <c r="T1082" s="183"/>
      <c r="U1082" s="183"/>
      <c r="V1082" s="183"/>
      <c r="W1082" s="183"/>
      <c r="X1082" s="183"/>
      <c r="Y1082" s="183"/>
      <c r="Z1082" s="183"/>
      <c r="AA1082" s="183"/>
    </row>
    <row r="1083">
      <c r="A1083" s="183"/>
      <c r="B1083" s="183"/>
      <c r="C1083" s="183"/>
      <c r="D1083" s="183"/>
      <c r="E1083" s="219"/>
      <c r="F1083" s="219"/>
      <c r="G1083" s="183"/>
      <c r="H1083" s="183"/>
      <c r="I1083" s="183"/>
      <c r="J1083" s="183"/>
      <c r="K1083" s="183"/>
      <c r="L1083" s="183"/>
      <c r="M1083" s="183"/>
      <c r="N1083" s="183"/>
      <c r="O1083" s="183"/>
      <c r="P1083" s="183"/>
      <c r="Q1083" s="183"/>
      <c r="R1083" s="183"/>
      <c r="S1083" s="183"/>
      <c r="T1083" s="183"/>
      <c r="U1083" s="183"/>
      <c r="V1083" s="183"/>
      <c r="W1083" s="183"/>
      <c r="X1083" s="183"/>
      <c r="Y1083" s="183"/>
      <c r="Z1083" s="183"/>
      <c r="AA1083" s="183"/>
    </row>
    <row r="1084">
      <c r="A1084" s="183"/>
      <c r="B1084" s="183"/>
      <c r="C1084" s="183"/>
      <c r="D1084" s="183"/>
      <c r="E1084" s="219"/>
      <c r="F1084" s="219"/>
      <c r="G1084" s="183"/>
      <c r="H1084" s="183"/>
      <c r="I1084" s="183"/>
      <c r="J1084" s="183"/>
      <c r="K1084" s="183"/>
      <c r="L1084" s="183"/>
      <c r="M1084" s="183"/>
      <c r="N1084" s="183"/>
      <c r="O1084" s="183"/>
      <c r="P1084" s="183"/>
      <c r="Q1084" s="183"/>
      <c r="R1084" s="183"/>
      <c r="S1084" s="183"/>
      <c r="T1084" s="183"/>
      <c r="U1084" s="183"/>
      <c r="V1084" s="183"/>
      <c r="W1084" s="183"/>
      <c r="X1084" s="183"/>
      <c r="Y1084" s="183"/>
      <c r="Z1084" s="183"/>
      <c r="AA1084" s="183"/>
    </row>
    <row r="1085">
      <c r="A1085" s="183"/>
      <c r="B1085" s="183"/>
      <c r="C1085" s="183"/>
      <c r="D1085" s="183"/>
      <c r="E1085" s="219"/>
      <c r="F1085" s="219"/>
      <c r="G1085" s="183"/>
      <c r="H1085" s="183"/>
      <c r="I1085" s="183"/>
      <c r="J1085" s="183"/>
      <c r="K1085" s="183"/>
      <c r="L1085" s="183"/>
      <c r="M1085" s="183"/>
      <c r="N1085" s="183"/>
      <c r="O1085" s="183"/>
      <c r="P1085" s="183"/>
      <c r="Q1085" s="183"/>
      <c r="R1085" s="183"/>
      <c r="S1085" s="183"/>
      <c r="T1085" s="183"/>
      <c r="U1085" s="183"/>
      <c r="V1085" s="183"/>
      <c r="W1085" s="183"/>
      <c r="X1085" s="183"/>
      <c r="Y1085" s="183"/>
      <c r="Z1085" s="183"/>
      <c r="AA1085" s="183"/>
    </row>
    <row r="1086">
      <c r="A1086" s="183"/>
      <c r="B1086" s="183"/>
      <c r="C1086" s="183"/>
      <c r="D1086" s="183"/>
      <c r="E1086" s="219"/>
      <c r="F1086" s="219"/>
      <c r="G1086" s="183"/>
      <c r="H1086" s="183"/>
      <c r="I1086" s="183"/>
      <c r="J1086" s="183"/>
      <c r="K1086" s="183"/>
      <c r="L1086" s="183"/>
      <c r="M1086" s="183"/>
      <c r="N1086" s="183"/>
      <c r="O1086" s="183"/>
      <c r="P1086" s="183"/>
      <c r="Q1086" s="183"/>
      <c r="R1086" s="183"/>
      <c r="S1086" s="183"/>
      <c r="T1086" s="183"/>
      <c r="U1086" s="183"/>
      <c r="V1086" s="183"/>
      <c r="W1086" s="183"/>
      <c r="X1086" s="183"/>
      <c r="Y1086" s="183"/>
      <c r="Z1086" s="183"/>
      <c r="AA1086" s="183"/>
    </row>
    <row r="1087">
      <c r="A1087" s="183"/>
      <c r="B1087" s="183"/>
      <c r="C1087" s="183"/>
      <c r="D1087" s="183"/>
      <c r="E1087" s="219"/>
      <c r="F1087" s="219"/>
      <c r="G1087" s="183"/>
      <c r="H1087" s="183"/>
      <c r="I1087" s="183"/>
      <c r="J1087" s="183"/>
      <c r="K1087" s="183"/>
      <c r="L1087" s="183"/>
      <c r="M1087" s="183"/>
      <c r="N1087" s="183"/>
      <c r="O1087" s="183"/>
      <c r="P1087" s="183"/>
      <c r="Q1087" s="183"/>
      <c r="R1087" s="183"/>
      <c r="S1087" s="183"/>
      <c r="T1087" s="183"/>
      <c r="U1087" s="183"/>
      <c r="V1087" s="183"/>
      <c r="W1087" s="183"/>
      <c r="X1087" s="183"/>
      <c r="Y1087" s="183"/>
      <c r="Z1087" s="183"/>
      <c r="AA1087" s="183"/>
    </row>
    <row r="1088">
      <c r="A1088" s="183"/>
      <c r="B1088" s="183"/>
      <c r="C1088" s="183"/>
      <c r="D1088" s="183"/>
      <c r="E1088" s="219"/>
      <c r="F1088" s="219"/>
      <c r="G1088" s="183"/>
      <c r="H1088" s="183"/>
      <c r="I1088" s="183"/>
      <c r="J1088" s="183"/>
      <c r="K1088" s="183"/>
      <c r="L1088" s="183"/>
      <c r="M1088" s="183"/>
      <c r="N1088" s="183"/>
      <c r="O1088" s="183"/>
      <c r="P1088" s="183"/>
      <c r="Q1088" s="183"/>
      <c r="R1088" s="183"/>
      <c r="S1088" s="183"/>
      <c r="T1088" s="183"/>
      <c r="U1088" s="183"/>
      <c r="V1088" s="183"/>
      <c r="W1088" s="183"/>
      <c r="X1088" s="183"/>
      <c r="Y1088" s="183"/>
      <c r="Z1088" s="183"/>
      <c r="AA1088" s="183"/>
    </row>
    <row r="1089">
      <c r="A1089" s="183"/>
      <c r="B1089" s="183"/>
      <c r="C1089" s="183"/>
      <c r="D1089" s="183"/>
      <c r="E1089" s="219"/>
      <c r="F1089" s="219"/>
      <c r="G1089" s="183"/>
      <c r="H1089" s="183"/>
      <c r="I1089" s="183"/>
      <c r="J1089" s="183"/>
      <c r="K1089" s="183"/>
      <c r="L1089" s="183"/>
      <c r="M1089" s="183"/>
      <c r="N1089" s="183"/>
      <c r="O1089" s="183"/>
      <c r="P1089" s="183"/>
      <c r="Q1089" s="183"/>
      <c r="R1089" s="183"/>
      <c r="S1089" s="183"/>
      <c r="T1089" s="183"/>
      <c r="U1089" s="183"/>
      <c r="V1089" s="183"/>
      <c r="W1089" s="183"/>
      <c r="X1089" s="183"/>
      <c r="Y1089" s="183"/>
      <c r="Z1089" s="183"/>
      <c r="AA1089" s="183"/>
    </row>
    <row r="1090">
      <c r="A1090" s="183"/>
      <c r="B1090" s="183"/>
      <c r="C1090" s="183"/>
      <c r="D1090" s="183"/>
      <c r="E1090" s="219"/>
      <c r="F1090" s="219"/>
      <c r="G1090" s="183"/>
      <c r="H1090" s="183"/>
      <c r="I1090" s="183"/>
      <c r="J1090" s="183"/>
      <c r="K1090" s="183"/>
      <c r="L1090" s="183"/>
      <c r="M1090" s="183"/>
      <c r="N1090" s="183"/>
      <c r="O1090" s="183"/>
      <c r="P1090" s="183"/>
      <c r="Q1090" s="183"/>
      <c r="R1090" s="183"/>
      <c r="S1090" s="183"/>
      <c r="T1090" s="183"/>
      <c r="U1090" s="183"/>
      <c r="V1090" s="183"/>
      <c r="W1090" s="183"/>
      <c r="X1090" s="183"/>
      <c r="Y1090" s="183"/>
      <c r="Z1090" s="183"/>
      <c r="AA1090" s="183"/>
    </row>
    <row r="1091">
      <c r="A1091" s="183"/>
      <c r="B1091" s="183"/>
      <c r="C1091" s="183"/>
      <c r="D1091" s="183"/>
      <c r="E1091" s="219"/>
      <c r="F1091" s="219"/>
      <c r="G1091" s="183"/>
      <c r="H1091" s="183"/>
      <c r="I1091" s="183"/>
      <c r="J1091" s="183"/>
      <c r="K1091" s="183"/>
      <c r="L1091" s="183"/>
      <c r="M1091" s="183"/>
      <c r="N1091" s="183"/>
      <c r="O1091" s="183"/>
      <c r="P1091" s="183"/>
      <c r="Q1091" s="183"/>
      <c r="R1091" s="183"/>
      <c r="S1091" s="183"/>
      <c r="T1091" s="183"/>
      <c r="U1091" s="183"/>
      <c r="V1091" s="183"/>
      <c r="W1091" s="183"/>
      <c r="X1091" s="183"/>
      <c r="Y1091" s="183"/>
      <c r="Z1091" s="183"/>
      <c r="AA1091" s="183"/>
    </row>
    <row r="1092">
      <c r="A1092" s="183"/>
      <c r="B1092" s="183"/>
      <c r="C1092" s="183"/>
      <c r="D1092" s="183"/>
      <c r="E1092" s="219"/>
      <c r="F1092" s="219"/>
      <c r="G1092" s="183"/>
      <c r="H1092" s="183"/>
      <c r="I1092" s="183"/>
      <c r="J1092" s="183"/>
      <c r="K1092" s="183"/>
      <c r="L1092" s="183"/>
      <c r="M1092" s="183"/>
      <c r="N1092" s="183"/>
      <c r="O1092" s="183"/>
      <c r="P1092" s="183"/>
      <c r="Q1092" s="183"/>
      <c r="R1092" s="183"/>
      <c r="S1092" s="183"/>
      <c r="T1092" s="183"/>
      <c r="U1092" s="183"/>
      <c r="V1092" s="183"/>
      <c r="W1092" s="183"/>
      <c r="X1092" s="183"/>
      <c r="Y1092" s="183"/>
      <c r="Z1092" s="183"/>
      <c r="AA1092" s="183"/>
    </row>
    <row r="1093">
      <c r="A1093" s="183"/>
      <c r="B1093" s="183"/>
      <c r="C1093" s="183"/>
      <c r="D1093" s="183"/>
      <c r="E1093" s="219"/>
      <c r="F1093" s="219"/>
      <c r="G1093" s="183"/>
      <c r="H1093" s="183"/>
      <c r="I1093" s="183"/>
      <c r="J1093" s="183"/>
      <c r="K1093" s="183"/>
      <c r="L1093" s="183"/>
      <c r="M1093" s="183"/>
      <c r="N1093" s="183"/>
      <c r="O1093" s="183"/>
      <c r="P1093" s="183"/>
      <c r="Q1093" s="183"/>
      <c r="R1093" s="183"/>
      <c r="S1093" s="183"/>
      <c r="T1093" s="183"/>
      <c r="U1093" s="183"/>
      <c r="V1093" s="183"/>
      <c r="W1093" s="183"/>
      <c r="X1093" s="183"/>
      <c r="Y1093" s="183"/>
      <c r="Z1093" s="183"/>
      <c r="AA1093" s="183"/>
    </row>
    <row r="1094">
      <c r="A1094" s="183"/>
      <c r="B1094" s="183"/>
      <c r="C1094" s="183"/>
      <c r="D1094" s="183"/>
      <c r="E1094" s="219"/>
      <c r="F1094" s="219"/>
      <c r="G1094" s="183"/>
      <c r="H1094" s="183"/>
      <c r="I1094" s="183"/>
      <c r="J1094" s="183"/>
      <c r="K1094" s="183"/>
      <c r="L1094" s="183"/>
      <c r="M1094" s="183"/>
      <c r="N1094" s="183"/>
      <c r="O1094" s="183"/>
      <c r="P1094" s="183"/>
      <c r="Q1094" s="183"/>
      <c r="R1094" s="183"/>
      <c r="S1094" s="183"/>
      <c r="T1094" s="183"/>
      <c r="U1094" s="183"/>
      <c r="V1094" s="183"/>
      <c r="W1094" s="183"/>
      <c r="X1094" s="183"/>
      <c r="Y1094" s="183"/>
      <c r="Z1094" s="183"/>
      <c r="AA1094" s="183"/>
    </row>
    <row r="1095">
      <c r="A1095" s="183"/>
      <c r="B1095" s="183"/>
      <c r="C1095" s="183"/>
      <c r="D1095" s="183"/>
      <c r="E1095" s="219"/>
      <c r="F1095" s="219"/>
      <c r="G1095" s="183"/>
      <c r="H1095" s="183"/>
      <c r="I1095" s="183"/>
      <c r="J1095" s="183"/>
      <c r="K1095" s="183"/>
      <c r="L1095" s="183"/>
      <c r="M1095" s="183"/>
      <c r="N1095" s="183"/>
      <c r="O1095" s="183"/>
      <c r="P1095" s="183"/>
      <c r="Q1095" s="183"/>
      <c r="R1095" s="183"/>
      <c r="S1095" s="183"/>
      <c r="T1095" s="183"/>
      <c r="U1095" s="183"/>
      <c r="V1095" s="183"/>
      <c r="W1095" s="183"/>
      <c r="X1095" s="183"/>
      <c r="Y1095" s="183"/>
      <c r="Z1095" s="183"/>
      <c r="AA1095" s="183"/>
    </row>
    <row r="1096">
      <c r="A1096" s="183"/>
      <c r="B1096" s="183"/>
      <c r="C1096" s="183"/>
      <c r="D1096" s="183"/>
      <c r="E1096" s="219"/>
      <c r="F1096" s="219"/>
      <c r="G1096" s="183"/>
      <c r="H1096" s="183"/>
      <c r="I1096" s="183"/>
      <c r="J1096" s="183"/>
      <c r="K1096" s="183"/>
      <c r="L1096" s="183"/>
      <c r="M1096" s="183"/>
      <c r="N1096" s="183"/>
      <c r="O1096" s="183"/>
      <c r="P1096" s="183"/>
      <c r="Q1096" s="183"/>
      <c r="R1096" s="183"/>
      <c r="S1096" s="183"/>
      <c r="T1096" s="183"/>
      <c r="U1096" s="183"/>
      <c r="V1096" s="183"/>
      <c r="W1096" s="183"/>
      <c r="X1096" s="183"/>
      <c r="Y1096" s="183"/>
      <c r="Z1096" s="183"/>
      <c r="AA1096" s="183"/>
    </row>
    <row r="1097">
      <c r="A1097" s="183"/>
      <c r="B1097" s="183"/>
      <c r="C1097" s="183"/>
      <c r="D1097" s="183"/>
      <c r="E1097" s="219"/>
      <c r="F1097" s="219"/>
      <c r="G1097" s="183"/>
      <c r="H1097" s="183"/>
      <c r="I1097" s="183"/>
      <c r="J1097" s="183"/>
      <c r="K1097" s="183"/>
      <c r="L1097" s="183"/>
      <c r="M1097" s="183"/>
      <c r="N1097" s="183"/>
      <c r="O1097" s="183"/>
      <c r="P1097" s="183"/>
      <c r="Q1097" s="183"/>
      <c r="R1097" s="183"/>
      <c r="S1097" s="183"/>
      <c r="T1097" s="183"/>
      <c r="U1097" s="183"/>
      <c r="V1097" s="183"/>
      <c r="W1097" s="183"/>
      <c r="X1097" s="183"/>
      <c r="Y1097" s="183"/>
      <c r="Z1097" s="183"/>
      <c r="AA1097" s="183"/>
    </row>
    <row r="1098">
      <c r="A1098" s="183"/>
      <c r="B1098" s="183"/>
      <c r="C1098" s="183"/>
      <c r="D1098" s="183"/>
      <c r="E1098" s="219"/>
      <c r="F1098" s="219"/>
      <c r="G1098" s="183"/>
      <c r="H1098" s="183"/>
      <c r="I1098" s="183"/>
      <c r="J1098" s="183"/>
      <c r="K1098" s="183"/>
      <c r="L1098" s="183"/>
      <c r="M1098" s="183"/>
      <c r="N1098" s="183"/>
      <c r="O1098" s="183"/>
      <c r="P1098" s="183"/>
      <c r="Q1098" s="183"/>
      <c r="R1098" s="183"/>
      <c r="S1098" s="183"/>
      <c r="T1098" s="183"/>
      <c r="U1098" s="183"/>
      <c r="V1098" s="183"/>
      <c r="W1098" s="183"/>
      <c r="X1098" s="183"/>
      <c r="Y1098" s="183"/>
      <c r="Z1098" s="183"/>
      <c r="AA1098" s="183"/>
    </row>
    <row r="1099">
      <c r="A1099" s="183"/>
      <c r="B1099" s="183"/>
      <c r="C1099" s="183"/>
      <c r="D1099" s="183"/>
      <c r="E1099" s="219"/>
      <c r="F1099" s="219"/>
      <c r="G1099" s="183"/>
      <c r="H1099" s="183"/>
      <c r="I1099" s="183"/>
      <c r="J1099" s="183"/>
      <c r="K1099" s="183"/>
      <c r="L1099" s="183"/>
      <c r="M1099" s="183"/>
      <c r="N1099" s="183"/>
      <c r="O1099" s="183"/>
      <c r="P1099" s="183"/>
      <c r="Q1099" s="183"/>
      <c r="R1099" s="183"/>
      <c r="S1099" s="183"/>
      <c r="T1099" s="183"/>
      <c r="U1099" s="183"/>
      <c r="V1099" s="183"/>
      <c r="W1099" s="183"/>
      <c r="X1099" s="183"/>
      <c r="Y1099" s="183"/>
      <c r="Z1099" s="183"/>
      <c r="AA1099" s="183"/>
    </row>
    <row r="1100">
      <c r="A1100" s="183"/>
      <c r="B1100" s="183"/>
      <c r="C1100" s="183"/>
      <c r="D1100" s="183"/>
      <c r="E1100" s="219"/>
      <c r="F1100" s="219"/>
      <c r="G1100" s="183"/>
      <c r="H1100" s="183"/>
      <c r="I1100" s="183"/>
      <c r="J1100" s="183"/>
      <c r="K1100" s="183"/>
      <c r="L1100" s="183"/>
      <c r="M1100" s="183"/>
      <c r="N1100" s="183"/>
      <c r="O1100" s="183"/>
      <c r="P1100" s="183"/>
      <c r="Q1100" s="183"/>
      <c r="R1100" s="183"/>
      <c r="S1100" s="183"/>
      <c r="T1100" s="183"/>
      <c r="U1100" s="183"/>
      <c r="V1100" s="183"/>
      <c r="W1100" s="183"/>
      <c r="X1100" s="183"/>
      <c r="Y1100" s="183"/>
      <c r="Z1100" s="183"/>
      <c r="AA1100" s="183"/>
    </row>
    <row r="1101">
      <c r="A1101" s="183"/>
      <c r="B1101" s="183"/>
      <c r="C1101" s="183"/>
      <c r="D1101" s="183"/>
      <c r="E1101" s="219"/>
      <c r="F1101" s="219"/>
      <c r="G1101" s="183"/>
      <c r="H1101" s="183"/>
      <c r="I1101" s="183"/>
      <c r="J1101" s="183"/>
      <c r="K1101" s="183"/>
      <c r="L1101" s="183"/>
      <c r="M1101" s="183"/>
      <c r="N1101" s="183"/>
      <c r="O1101" s="183"/>
      <c r="P1101" s="183"/>
      <c r="Q1101" s="183"/>
      <c r="R1101" s="183"/>
      <c r="S1101" s="183"/>
      <c r="T1101" s="183"/>
      <c r="U1101" s="183"/>
      <c r="V1101" s="183"/>
      <c r="W1101" s="183"/>
      <c r="X1101" s="183"/>
      <c r="Y1101" s="183"/>
      <c r="Z1101" s="183"/>
      <c r="AA1101" s="183"/>
    </row>
    <row r="1102">
      <c r="A1102" s="183"/>
      <c r="B1102" s="183"/>
      <c r="C1102" s="183"/>
      <c r="D1102" s="183"/>
      <c r="E1102" s="219"/>
      <c r="F1102" s="219"/>
      <c r="G1102" s="183"/>
      <c r="H1102" s="183"/>
      <c r="I1102" s="183"/>
      <c r="J1102" s="183"/>
      <c r="K1102" s="183"/>
      <c r="L1102" s="183"/>
      <c r="M1102" s="183"/>
      <c r="N1102" s="183"/>
      <c r="O1102" s="183"/>
      <c r="P1102" s="183"/>
      <c r="Q1102" s="183"/>
      <c r="R1102" s="183"/>
      <c r="S1102" s="183"/>
      <c r="T1102" s="183"/>
      <c r="U1102" s="183"/>
      <c r="V1102" s="183"/>
      <c r="W1102" s="183"/>
      <c r="X1102" s="183"/>
      <c r="Y1102" s="183"/>
      <c r="Z1102" s="183"/>
      <c r="AA1102" s="183"/>
    </row>
    <row r="1103">
      <c r="A1103" s="183"/>
      <c r="B1103" s="183"/>
      <c r="C1103" s="183"/>
      <c r="D1103" s="183"/>
      <c r="E1103" s="219"/>
      <c r="F1103" s="219"/>
      <c r="G1103" s="183"/>
      <c r="H1103" s="183"/>
      <c r="I1103" s="183"/>
      <c r="J1103" s="183"/>
      <c r="K1103" s="183"/>
      <c r="L1103" s="183"/>
      <c r="M1103" s="183"/>
      <c r="N1103" s="183"/>
      <c r="O1103" s="183"/>
      <c r="P1103" s="183"/>
      <c r="Q1103" s="183"/>
      <c r="R1103" s="183"/>
      <c r="S1103" s="183"/>
      <c r="T1103" s="183"/>
      <c r="U1103" s="183"/>
      <c r="V1103" s="183"/>
      <c r="W1103" s="183"/>
      <c r="X1103" s="183"/>
      <c r="Y1103" s="183"/>
      <c r="Z1103" s="183"/>
      <c r="AA1103" s="183"/>
    </row>
    <row r="1104">
      <c r="A1104" s="183"/>
      <c r="B1104" s="183"/>
      <c r="C1104" s="183"/>
      <c r="D1104" s="183"/>
      <c r="E1104" s="219"/>
      <c r="F1104" s="219"/>
      <c r="G1104" s="183"/>
      <c r="H1104" s="183"/>
      <c r="I1104" s="183"/>
      <c r="J1104" s="183"/>
      <c r="K1104" s="183"/>
      <c r="L1104" s="183"/>
      <c r="M1104" s="183"/>
      <c r="N1104" s="183"/>
      <c r="O1104" s="183"/>
      <c r="P1104" s="183"/>
      <c r="Q1104" s="183"/>
      <c r="R1104" s="183"/>
      <c r="S1104" s="183"/>
      <c r="T1104" s="183"/>
      <c r="U1104" s="183"/>
      <c r="V1104" s="183"/>
      <c r="W1104" s="183"/>
      <c r="X1104" s="183"/>
      <c r="Y1104" s="183"/>
      <c r="Z1104" s="183"/>
      <c r="AA1104" s="183"/>
    </row>
    <row r="1105">
      <c r="A1105" s="183"/>
      <c r="B1105" s="183"/>
      <c r="C1105" s="183"/>
      <c r="D1105" s="183"/>
      <c r="E1105" s="219"/>
      <c r="F1105" s="219"/>
      <c r="G1105" s="183"/>
      <c r="H1105" s="183"/>
      <c r="I1105" s="183"/>
      <c r="J1105" s="183"/>
      <c r="K1105" s="183"/>
      <c r="L1105" s="183"/>
      <c r="M1105" s="183"/>
      <c r="N1105" s="183"/>
      <c r="O1105" s="183"/>
      <c r="P1105" s="183"/>
      <c r="Q1105" s="183"/>
      <c r="R1105" s="183"/>
      <c r="S1105" s="183"/>
      <c r="T1105" s="183"/>
      <c r="U1105" s="183"/>
      <c r="V1105" s="183"/>
      <c r="W1105" s="183"/>
      <c r="X1105" s="183"/>
      <c r="Y1105" s="183"/>
      <c r="Z1105" s="183"/>
      <c r="AA1105" s="183"/>
    </row>
    <row r="1106">
      <c r="A1106" s="183"/>
      <c r="B1106" s="183"/>
      <c r="C1106" s="183"/>
      <c r="D1106" s="183"/>
      <c r="E1106" s="219"/>
      <c r="F1106" s="219"/>
      <c r="G1106" s="183"/>
      <c r="H1106" s="183"/>
      <c r="I1106" s="183"/>
      <c r="J1106" s="183"/>
      <c r="K1106" s="183"/>
      <c r="L1106" s="183"/>
      <c r="M1106" s="183"/>
      <c r="N1106" s="183"/>
      <c r="O1106" s="183"/>
      <c r="P1106" s="183"/>
      <c r="Q1106" s="183"/>
      <c r="R1106" s="183"/>
      <c r="S1106" s="183"/>
      <c r="T1106" s="183"/>
      <c r="U1106" s="183"/>
      <c r="V1106" s="183"/>
      <c r="W1106" s="183"/>
      <c r="X1106" s="183"/>
      <c r="Y1106" s="183"/>
      <c r="Z1106" s="183"/>
      <c r="AA1106" s="183"/>
    </row>
    <row r="1107">
      <c r="A1107" s="183"/>
      <c r="B1107" s="183"/>
      <c r="C1107" s="183"/>
      <c r="D1107" s="183"/>
      <c r="E1107" s="219"/>
      <c r="F1107" s="219"/>
      <c r="G1107" s="183"/>
      <c r="H1107" s="183"/>
      <c r="I1107" s="183"/>
      <c r="J1107" s="183"/>
      <c r="K1107" s="183"/>
      <c r="L1107" s="183"/>
      <c r="M1107" s="183"/>
      <c r="N1107" s="183"/>
      <c r="O1107" s="183"/>
      <c r="P1107" s="183"/>
      <c r="Q1107" s="183"/>
      <c r="R1107" s="183"/>
      <c r="S1107" s="183"/>
      <c r="T1107" s="183"/>
      <c r="U1107" s="183"/>
      <c r="V1107" s="183"/>
      <c r="W1107" s="183"/>
      <c r="X1107" s="183"/>
      <c r="Y1107" s="183"/>
      <c r="Z1107" s="183"/>
      <c r="AA1107" s="183"/>
    </row>
    <row r="1108">
      <c r="A1108" s="183"/>
      <c r="B1108" s="183"/>
      <c r="C1108" s="183"/>
      <c r="D1108" s="183"/>
      <c r="E1108" s="219"/>
      <c r="F1108" s="219"/>
      <c r="G1108" s="183"/>
      <c r="H1108" s="183"/>
      <c r="I1108" s="183"/>
      <c r="J1108" s="183"/>
      <c r="K1108" s="183"/>
      <c r="L1108" s="183"/>
      <c r="M1108" s="183"/>
      <c r="N1108" s="183"/>
      <c r="O1108" s="183"/>
      <c r="P1108" s="183"/>
      <c r="Q1108" s="183"/>
      <c r="R1108" s="183"/>
      <c r="S1108" s="183"/>
      <c r="T1108" s="183"/>
      <c r="U1108" s="183"/>
      <c r="V1108" s="183"/>
      <c r="W1108" s="183"/>
      <c r="X1108" s="183"/>
      <c r="Y1108" s="183"/>
      <c r="Z1108" s="183"/>
      <c r="AA1108" s="183"/>
    </row>
    <row r="1109">
      <c r="A1109" s="183"/>
      <c r="B1109" s="183"/>
      <c r="C1109" s="183"/>
      <c r="D1109" s="183"/>
      <c r="E1109" s="219"/>
      <c r="F1109" s="219"/>
      <c r="G1109" s="183"/>
      <c r="H1109" s="183"/>
      <c r="I1109" s="183"/>
      <c r="J1109" s="183"/>
      <c r="K1109" s="183"/>
      <c r="L1109" s="183"/>
      <c r="M1109" s="183"/>
      <c r="N1109" s="183"/>
      <c r="O1109" s="183"/>
      <c r="P1109" s="183"/>
      <c r="Q1109" s="183"/>
      <c r="R1109" s="183"/>
      <c r="S1109" s="183"/>
      <c r="T1109" s="183"/>
      <c r="U1109" s="183"/>
      <c r="V1109" s="183"/>
      <c r="W1109" s="183"/>
      <c r="X1109" s="183"/>
      <c r="Y1109" s="183"/>
      <c r="Z1109" s="183"/>
      <c r="AA1109" s="183"/>
    </row>
    <row r="1110">
      <c r="A1110" s="183"/>
      <c r="B1110" s="183"/>
      <c r="C1110" s="183"/>
      <c r="D1110" s="183"/>
      <c r="E1110" s="219"/>
      <c r="F1110" s="219"/>
      <c r="G1110" s="183"/>
      <c r="H1110" s="183"/>
      <c r="I1110" s="183"/>
      <c r="J1110" s="183"/>
      <c r="K1110" s="183"/>
      <c r="L1110" s="183"/>
      <c r="M1110" s="183"/>
      <c r="N1110" s="183"/>
      <c r="O1110" s="183"/>
      <c r="P1110" s="183"/>
      <c r="Q1110" s="183"/>
      <c r="R1110" s="183"/>
      <c r="S1110" s="183"/>
      <c r="T1110" s="183"/>
      <c r="U1110" s="183"/>
      <c r="V1110" s="183"/>
      <c r="W1110" s="183"/>
      <c r="X1110" s="183"/>
      <c r="Y1110" s="183"/>
      <c r="Z1110" s="183"/>
      <c r="AA1110" s="183"/>
    </row>
    <row r="1111">
      <c r="A1111" s="183"/>
      <c r="B1111" s="183"/>
      <c r="C1111" s="183"/>
      <c r="D1111" s="183"/>
      <c r="E1111" s="219"/>
      <c r="F1111" s="219"/>
      <c r="G1111" s="183"/>
      <c r="H1111" s="183"/>
      <c r="I1111" s="183"/>
      <c r="J1111" s="183"/>
      <c r="K1111" s="183"/>
      <c r="L1111" s="183"/>
      <c r="M1111" s="183"/>
      <c r="N1111" s="183"/>
      <c r="O1111" s="183"/>
      <c r="P1111" s="183"/>
      <c r="Q1111" s="183"/>
      <c r="R1111" s="183"/>
      <c r="S1111" s="183"/>
      <c r="T1111" s="183"/>
      <c r="U1111" s="183"/>
      <c r="V1111" s="183"/>
      <c r="W1111" s="183"/>
      <c r="X1111" s="183"/>
      <c r="Y1111" s="183"/>
      <c r="Z1111" s="183"/>
      <c r="AA1111" s="183"/>
    </row>
    <row r="1112">
      <c r="A1112" s="183"/>
      <c r="B1112" s="183"/>
      <c r="C1112" s="183"/>
      <c r="D1112" s="183"/>
      <c r="E1112" s="219"/>
      <c r="F1112" s="219"/>
      <c r="G1112" s="183"/>
      <c r="H1112" s="183"/>
      <c r="I1112" s="183"/>
      <c r="J1112" s="183"/>
      <c r="K1112" s="183"/>
      <c r="L1112" s="183"/>
      <c r="M1112" s="183"/>
      <c r="N1112" s="183"/>
      <c r="O1112" s="183"/>
      <c r="P1112" s="183"/>
      <c r="Q1112" s="183"/>
      <c r="R1112" s="183"/>
      <c r="S1112" s="183"/>
      <c r="T1112" s="183"/>
      <c r="U1112" s="183"/>
      <c r="V1112" s="183"/>
      <c r="W1112" s="183"/>
      <c r="X1112" s="183"/>
      <c r="Y1112" s="183"/>
      <c r="Z1112" s="183"/>
      <c r="AA1112" s="183"/>
    </row>
    <row r="1113">
      <c r="A1113" s="183"/>
      <c r="B1113" s="183"/>
      <c r="C1113" s="183"/>
      <c r="D1113" s="183"/>
      <c r="E1113" s="219"/>
      <c r="F1113" s="219"/>
      <c r="G1113" s="183"/>
      <c r="H1113" s="183"/>
      <c r="I1113" s="183"/>
      <c r="J1113" s="183"/>
      <c r="K1113" s="183"/>
      <c r="L1113" s="183"/>
      <c r="M1113" s="183"/>
      <c r="N1113" s="183"/>
      <c r="O1113" s="183"/>
      <c r="P1113" s="183"/>
      <c r="Q1113" s="183"/>
      <c r="R1113" s="183"/>
      <c r="S1113" s="183"/>
      <c r="T1113" s="183"/>
      <c r="U1113" s="183"/>
      <c r="V1113" s="183"/>
      <c r="W1113" s="183"/>
      <c r="X1113" s="183"/>
      <c r="Y1113" s="183"/>
      <c r="Z1113" s="183"/>
      <c r="AA1113" s="183"/>
    </row>
    <row r="1114">
      <c r="A1114" s="183"/>
      <c r="B1114" s="183"/>
      <c r="C1114" s="183"/>
      <c r="D1114" s="183"/>
      <c r="E1114" s="219"/>
      <c r="F1114" s="219"/>
      <c r="G1114" s="183"/>
      <c r="H1114" s="183"/>
      <c r="I1114" s="183"/>
      <c r="J1114" s="183"/>
      <c r="K1114" s="183"/>
      <c r="L1114" s="183"/>
      <c r="M1114" s="183"/>
      <c r="N1114" s="183"/>
      <c r="O1114" s="183"/>
      <c r="P1114" s="183"/>
      <c r="Q1114" s="183"/>
      <c r="R1114" s="183"/>
      <c r="S1114" s="183"/>
      <c r="T1114" s="183"/>
      <c r="U1114" s="183"/>
      <c r="V1114" s="183"/>
      <c r="W1114" s="183"/>
      <c r="X1114" s="183"/>
      <c r="Y1114" s="183"/>
      <c r="Z1114" s="183"/>
      <c r="AA1114" s="183"/>
    </row>
    <row r="1115">
      <c r="A1115" s="183"/>
      <c r="B1115" s="183"/>
      <c r="C1115" s="183"/>
      <c r="D1115" s="183"/>
      <c r="E1115" s="219"/>
      <c r="F1115" s="219"/>
      <c r="G1115" s="183"/>
      <c r="H1115" s="183"/>
      <c r="I1115" s="183"/>
      <c r="J1115" s="183"/>
      <c r="K1115" s="183"/>
      <c r="L1115" s="183"/>
      <c r="M1115" s="183"/>
      <c r="N1115" s="183"/>
      <c r="O1115" s="183"/>
      <c r="P1115" s="183"/>
      <c r="Q1115" s="183"/>
      <c r="R1115" s="183"/>
      <c r="S1115" s="183"/>
      <c r="T1115" s="183"/>
      <c r="U1115" s="183"/>
      <c r="V1115" s="183"/>
      <c r="W1115" s="183"/>
      <c r="X1115" s="183"/>
      <c r="Y1115" s="183"/>
      <c r="Z1115" s="183"/>
      <c r="AA1115" s="183"/>
    </row>
    <row r="1116">
      <c r="A1116" s="183"/>
      <c r="B1116" s="183"/>
      <c r="C1116" s="183"/>
      <c r="D1116" s="183"/>
      <c r="E1116" s="219"/>
      <c r="F1116" s="219"/>
      <c r="G1116" s="183"/>
      <c r="H1116" s="183"/>
      <c r="I1116" s="183"/>
      <c r="J1116" s="183"/>
      <c r="K1116" s="183"/>
      <c r="L1116" s="183"/>
      <c r="M1116" s="183"/>
      <c r="N1116" s="183"/>
      <c r="O1116" s="183"/>
      <c r="P1116" s="183"/>
      <c r="Q1116" s="183"/>
      <c r="R1116" s="183"/>
      <c r="S1116" s="183"/>
      <c r="T1116" s="183"/>
      <c r="U1116" s="183"/>
      <c r="V1116" s="183"/>
      <c r="W1116" s="183"/>
      <c r="X1116" s="183"/>
      <c r="Y1116" s="183"/>
      <c r="Z1116" s="183"/>
      <c r="AA1116" s="183"/>
    </row>
    <row r="1117">
      <c r="A1117" s="183"/>
      <c r="B1117" s="183"/>
      <c r="C1117" s="183"/>
      <c r="D1117" s="183"/>
      <c r="E1117" s="219"/>
      <c r="F1117" s="219"/>
      <c r="G1117" s="183"/>
      <c r="H1117" s="183"/>
      <c r="I1117" s="183"/>
      <c r="J1117" s="183"/>
      <c r="K1117" s="183"/>
      <c r="L1117" s="183"/>
      <c r="M1117" s="183"/>
      <c r="N1117" s="183"/>
      <c r="O1117" s="183"/>
      <c r="P1117" s="183"/>
      <c r="Q1117" s="183"/>
      <c r="R1117" s="183"/>
      <c r="S1117" s="183"/>
      <c r="T1117" s="183"/>
      <c r="U1117" s="183"/>
      <c r="V1117" s="183"/>
      <c r="W1117" s="183"/>
      <c r="X1117" s="183"/>
      <c r="Y1117" s="183"/>
      <c r="Z1117" s="183"/>
      <c r="AA1117" s="183"/>
    </row>
    <row r="1118">
      <c r="A1118" s="183"/>
      <c r="B1118" s="183"/>
      <c r="C1118" s="183"/>
      <c r="D1118" s="183"/>
      <c r="E1118" s="219"/>
      <c r="F1118" s="219"/>
      <c r="G1118" s="183"/>
      <c r="H1118" s="183"/>
      <c r="I1118" s="183"/>
      <c r="J1118" s="183"/>
      <c r="K1118" s="183"/>
      <c r="L1118" s="183"/>
      <c r="M1118" s="183"/>
      <c r="N1118" s="183"/>
      <c r="O1118" s="183"/>
      <c r="P1118" s="183"/>
      <c r="Q1118" s="183"/>
      <c r="R1118" s="183"/>
      <c r="S1118" s="183"/>
      <c r="T1118" s="183"/>
      <c r="U1118" s="183"/>
      <c r="V1118" s="183"/>
      <c r="W1118" s="183"/>
      <c r="X1118" s="183"/>
      <c r="Y1118" s="183"/>
      <c r="Z1118" s="183"/>
      <c r="AA1118" s="183"/>
    </row>
    <row r="1119">
      <c r="A1119" s="183"/>
      <c r="B1119" s="183"/>
      <c r="C1119" s="183"/>
      <c r="D1119" s="183"/>
      <c r="E1119" s="219"/>
      <c r="F1119" s="219"/>
      <c r="G1119" s="183"/>
      <c r="H1119" s="183"/>
      <c r="I1119" s="183"/>
      <c r="J1119" s="183"/>
      <c r="K1119" s="183"/>
      <c r="L1119" s="183"/>
      <c r="M1119" s="183"/>
      <c r="N1119" s="183"/>
      <c r="O1119" s="183"/>
      <c r="P1119" s="183"/>
      <c r="Q1119" s="183"/>
      <c r="R1119" s="183"/>
      <c r="S1119" s="183"/>
      <c r="T1119" s="183"/>
      <c r="U1119" s="183"/>
      <c r="V1119" s="183"/>
      <c r="W1119" s="183"/>
      <c r="X1119" s="183"/>
      <c r="Y1119" s="183"/>
      <c r="Z1119" s="183"/>
      <c r="AA1119" s="183"/>
    </row>
    <row r="1120">
      <c r="A1120" s="183"/>
      <c r="B1120" s="183"/>
      <c r="C1120" s="183"/>
      <c r="D1120" s="183"/>
      <c r="E1120" s="219"/>
      <c r="F1120" s="219"/>
      <c r="G1120" s="183"/>
      <c r="H1120" s="183"/>
      <c r="I1120" s="183"/>
      <c r="J1120" s="183"/>
      <c r="K1120" s="183"/>
      <c r="L1120" s="183"/>
      <c r="M1120" s="183"/>
      <c r="N1120" s="183"/>
      <c r="O1120" s="183"/>
      <c r="P1120" s="183"/>
      <c r="Q1120" s="183"/>
      <c r="R1120" s="183"/>
      <c r="S1120" s="183"/>
      <c r="T1120" s="183"/>
      <c r="U1120" s="183"/>
      <c r="V1120" s="183"/>
      <c r="W1120" s="183"/>
      <c r="X1120" s="183"/>
      <c r="Y1120" s="183"/>
      <c r="Z1120" s="183"/>
      <c r="AA1120" s="183"/>
    </row>
    <row r="1121">
      <c r="A1121" s="183"/>
      <c r="B1121" s="183"/>
      <c r="C1121" s="183"/>
      <c r="D1121" s="183"/>
      <c r="E1121" s="219"/>
      <c r="F1121" s="219"/>
      <c r="G1121" s="183"/>
      <c r="H1121" s="183"/>
      <c r="I1121" s="183"/>
      <c r="J1121" s="183"/>
      <c r="K1121" s="183"/>
      <c r="L1121" s="183"/>
      <c r="M1121" s="183"/>
      <c r="N1121" s="183"/>
      <c r="O1121" s="183"/>
      <c r="P1121" s="183"/>
      <c r="Q1121" s="183"/>
      <c r="R1121" s="183"/>
      <c r="S1121" s="183"/>
      <c r="T1121" s="183"/>
      <c r="U1121" s="183"/>
      <c r="V1121" s="183"/>
      <c r="W1121" s="183"/>
      <c r="X1121" s="183"/>
      <c r="Y1121" s="183"/>
      <c r="Z1121" s="183"/>
      <c r="AA1121" s="183"/>
    </row>
    <row r="1122">
      <c r="A1122" s="183"/>
      <c r="B1122" s="183"/>
      <c r="C1122" s="183"/>
      <c r="D1122" s="183"/>
      <c r="E1122" s="219"/>
      <c r="F1122" s="219"/>
      <c r="G1122" s="183"/>
      <c r="H1122" s="183"/>
      <c r="I1122" s="183"/>
      <c r="J1122" s="183"/>
      <c r="K1122" s="183"/>
      <c r="L1122" s="183"/>
      <c r="M1122" s="183"/>
      <c r="N1122" s="183"/>
      <c r="O1122" s="183"/>
      <c r="P1122" s="183"/>
      <c r="Q1122" s="183"/>
      <c r="R1122" s="183"/>
      <c r="S1122" s="183"/>
      <c r="T1122" s="183"/>
      <c r="U1122" s="183"/>
      <c r="V1122" s="183"/>
      <c r="W1122" s="183"/>
      <c r="X1122" s="183"/>
      <c r="Y1122" s="183"/>
      <c r="Z1122" s="183"/>
      <c r="AA1122" s="183"/>
    </row>
    <row r="1123">
      <c r="A1123" s="183"/>
      <c r="B1123" s="183"/>
      <c r="C1123" s="183"/>
      <c r="D1123" s="183"/>
      <c r="E1123" s="219"/>
      <c r="F1123" s="219"/>
      <c r="G1123" s="183"/>
      <c r="H1123" s="183"/>
      <c r="I1123" s="183"/>
      <c r="J1123" s="183"/>
      <c r="K1123" s="183"/>
      <c r="L1123" s="183"/>
      <c r="M1123" s="183"/>
      <c r="N1123" s="183"/>
      <c r="O1123" s="183"/>
      <c r="P1123" s="183"/>
      <c r="Q1123" s="183"/>
      <c r="R1123" s="183"/>
      <c r="S1123" s="183"/>
      <c r="T1123" s="183"/>
      <c r="U1123" s="183"/>
      <c r="V1123" s="183"/>
      <c r="W1123" s="183"/>
      <c r="X1123" s="183"/>
      <c r="Y1123" s="183"/>
      <c r="Z1123" s="183"/>
      <c r="AA1123" s="183"/>
    </row>
    <row r="1124">
      <c r="A1124" s="183"/>
      <c r="B1124" s="183"/>
      <c r="C1124" s="183"/>
      <c r="D1124" s="183"/>
      <c r="E1124" s="219"/>
      <c r="F1124" s="219"/>
      <c r="G1124" s="183"/>
      <c r="H1124" s="183"/>
      <c r="I1124" s="183"/>
      <c r="J1124" s="183"/>
      <c r="K1124" s="183"/>
      <c r="L1124" s="183"/>
      <c r="M1124" s="183"/>
      <c r="N1124" s="183"/>
      <c r="O1124" s="183"/>
      <c r="P1124" s="183"/>
      <c r="Q1124" s="183"/>
      <c r="R1124" s="183"/>
      <c r="S1124" s="183"/>
      <c r="T1124" s="183"/>
      <c r="U1124" s="183"/>
      <c r="V1124" s="183"/>
      <c r="W1124" s="183"/>
      <c r="X1124" s="183"/>
      <c r="Y1124" s="183"/>
      <c r="Z1124" s="183"/>
      <c r="AA1124" s="183"/>
    </row>
    <row r="1125">
      <c r="A1125" s="183"/>
      <c r="B1125" s="183"/>
      <c r="C1125" s="183"/>
      <c r="D1125" s="183"/>
      <c r="E1125" s="219"/>
      <c r="F1125" s="219"/>
      <c r="G1125" s="183"/>
      <c r="H1125" s="183"/>
      <c r="I1125" s="183"/>
      <c r="J1125" s="183"/>
      <c r="K1125" s="183"/>
      <c r="L1125" s="183"/>
      <c r="M1125" s="183"/>
      <c r="N1125" s="183"/>
      <c r="O1125" s="183"/>
      <c r="P1125" s="183"/>
      <c r="Q1125" s="183"/>
      <c r="R1125" s="183"/>
      <c r="S1125" s="183"/>
      <c r="T1125" s="183"/>
      <c r="U1125" s="183"/>
      <c r="V1125" s="183"/>
      <c r="W1125" s="183"/>
      <c r="X1125" s="183"/>
      <c r="Y1125" s="183"/>
      <c r="Z1125" s="183"/>
      <c r="AA1125" s="183"/>
    </row>
    <row r="1126">
      <c r="A1126" s="183"/>
      <c r="B1126" s="183"/>
      <c r="C1126" s="183"/>
      <c r="D1126" s="183"/>
      <c r="E1126" s="219"/>
      <c r="F1126" s="219"/>
      <c r="G1126" s="183"/>
      <c r="H1126" s="183"/>
      <c r="I1126" s="183"/>
      <c r="J1126" s="183"/>
      <c r="K1126" s="183"/>
      <c r="L1126" s="183"/>
      <c r="M1126" s="183"/>
      <c r="N1126" s="183"/>
      <c r="O1126" s="183"/>
      <c r="P1126" s="183"/>
      <c r="Q1126" s="183"/>
      <c r="R1126" s="183"/>
      <c r="S1126" s="183"/>
      <c r="T1126" s="183"/>
      <c r="U1126" s="183"/>
      <c r="V1126" s="183"/>
      <c r="W1126" s="183"/>
      <c r="X1126" s="183"/>
      <c r="Y1126" s="183"/>
      <c r="Z1126" s="183"/>
      <c r="AA1126" s="183"/>
    </row>
    <row r="1127">
      <c r="A1127" s="183"/>
      <c r="B1127" s="183"/>
      <c r="C1127" s="183"/>
      <c r="D1127" s="183"/>
      <c r="E1127" s="219"/>
      <c r="F1127" s="219"/>
      <c r="G1127" s="183"/>
      <c r="H1127" s="183"/>
      <c r="I1127" s="183"/>
      <c r="J1127" s="183"/>
      <c r="K1127" s="183"/>
      <c r="L1127" s="183"/>
      <c r="M1127" s="183"/>
      <c r="N1127" s="183"/>
      <c r="O1127" s="183"/>
      <c r="P1127" s="183"/>
      <c r="Q1127" s="183"/>
      <c r="R1127" s="183"/>
      <c r="S1127" s="183"/>
      <c r="T1127" s="183"/>
      <c r="U1127" s="183"/>
      <c r="V1127" s="183"/>
      <c r="W1127" s="183"/>
      <c r="X1127" s="183"/>
      <c r="Y1127" s="183"/>
      <c r="Z1127" s="183"/>
      <c r="AA1127" s="183"/>
    </row>
    <row r="1128">
      <c r="A1128" s="183"/>
      <c r="B1128" s="183"/>
      <c r="C1128" s="183"/>
      <c r="D1128" s="183"/>
      <c r="E1128" s="219"/>
      <c r="F1128" s="219"/>
      <c r="G1128" s="183"/>
      <c r="H1128" s="183"/>
      <c r="I1128" s="183"/>
      <c r="J1128" s="183"/>
      <c r="K1128" s="183"/>
      <c r="L1128" s="183"/>
      <c r="M1128" s="183"/>
      <c r="N1128" s="183"/>
      <c r="O1128" s="183"/>
      <c r="P1128" s="183"/>
      <c r="Q1128" s="183"/>
      <c r="R1128" s="183"/>
      <c r="S1128" s="183"/>
      <c r="T1128" s="183"/>
      <c r="U1128" s="183"/>
      <c r="V1128" s="183"/>
      <c r="W1128" s="183"/>
      <c r="X1128" s="183"/>
      <c r="Y1128" s="183"/>
      <c r="Z1128" s="183"/>
      <c r="AA1128" s="183"/>
    </row>
    <row r="1129">
      <c r="A1129" s="183"/>
      <c r="B1129" s="183"/>
      <c r="C1129" s="183"/>
      <c r="D1129" s="183"/>
      <c r="E1129" s="219"/>
      <c r="F1129" s="219"/>
      <c r="G1129" s="183"/>
      <c r="H1129" s="183"/>
      <c r="I1129" s="183"/>
      <c r="J1129" s="183"/>
      <c r="K1129" s="183"/>
      <c r="L1129" s="183"/>
      <c r="M1129" s="183"/>
      <c r="N1129" s="183"/>
      <c r="O1129" s="183"/>
      <c r="P1129" s="183"/>
      <c r="Q1129" s="183"/>
      <c r="R1129" s="183"/>
      <c r="S1129" s="183"/>
      <c r="T1129" s="183"/>
      <c r="U1129" s="183"/>
      <c r="V1129" s="183"/>
      <c r="W1129" s="183"/>
      <c r="X1129" s="183"/>
      <c r="Y1129" s="183"/>
      <c r="Z1129" s="183"/>
      <c r="AA1129" s="183"/>
    </row>
    <row r="1130">
      <c r="A1130" s="183"/>
      <c r="B1130" s="183"/>
      <c r="C1130" s="183"/>
      <c r="D1130" s="183"/>
      <c r="E1130" s="219"/>
      <c r="F1130" s="219"/>
      <c r="G1130" s="183"/>
      <c r="H1130" s="183"/>
      <c r="I1130" s="183"/>
      <c r="J1130" s="183"/>
      <c r="K1130" s="183"/>
      <c r="L1130" s="183"/>
      <c r="M1130" s="183"/>
      <c r="N1130" s="183"/>
      <c r="O1130" s="183"/>
      <c r="P1130" s="183"/>
      <c r="Q1130" s="183"/>
      <c r="R1130" s="183"/>
      <c r="S1130" s="183"/>
      <c r="T1130" s="183"/>
      <c r="U1130" s="183"/>
      <c r="V1130" s="183"/>
      <c r="W1130" s="183"/>
      <c r="X1130" s="183"/>
      <c r="Y1130" s="183"/>
      <c r="Z1130" s="183"/>
      <c r="AA1130" s="183"/>
    </row>
    <row r="1131">
      <c r="A1131" s="183"/>
      <c r="B1131" s="183"/>
      <c r="C1131" s="183"/>
      <c r="D1131" s="183"/>
      <c r="E1131" s="219"/>
      <c r="F1131" s="219"/>
      <c r="G1131" s="183"/>
      <c r="H1131" s="183"/>
      <c r="I1131" s="183"/>
      <c r="J1131" s="183"/>
      <c r="K1131" s="183"/>
      <c r="L1131" s="183"/>
      <c r="M1131" s="183"/>
      <c r="N1131" s="183"/>
      <c r="O1131" s="183"/>
      <c r="P1131" s="183"/>
      <c r="Q1131" s="183"/>
      <c r="R1131" s="183"/>
      <c r="S1131" s="183"/>
      <c r="T1131" s="183"/>
      <c r="U1131" s="183"/>
      <c r="V1131" s="183"/>
      <c r="W1131" s="183"/>
      <c r="X1131" s="183"/>
      <c r="Y1131" s="183"/>
      <c r="Z1131" s="183"/>
      <c r="AA1131" s="183"/>
    </row>
    <row r="1132">
      <c r="A1132" s="183"/>
      <c r="B1132" s="183"/>
      <c r="C1132" s="183"/>
      <c r="D1132" s="183"/>
      <c r="E1132" s="219"/>
      <c r="F1132" s="219"/>
      <c r="G1132" s="183"/>
      <c r="H1132" s="183"/>
      <c r="I1132" s="183"/>
      <c r="J1132" s="183"/>
      <c r="K1132" s="183"/>
      <c r="L1132" s="183"/>
      <c r="M1132" s="183"/>
      <c r="N1132" s="183"/>
      <c r="O1132" s="183"/>
      <c r="P1132" s="183"/>
      <c r="Q1132" s="183"/>
      <c r="R1132" s="183"/>
      <c r="S1132" s="183"/>
      <c r="T1132" s="183"/>
      <c r="U1132" s="183"/>
      <c r="V1132" s="183"/>
      <c r="W1132" s="183"/>
      <c r="X1132" s="183"/>
      <c r="Y1132" s="183"/>
      <c r="Z1132" s="183"/>
      <c r="AA1132" s="183"/>
    </row>
    <row r="1133">
      <c r="A1133" s="183"/>
      <c r="B1133" s="183"/>
      <c r="C1133" s="183"/>
      <c r="D1133" s="183"/>
      <c r="E1133" s="219"/>
      <c r="F1133" s="219"/>
      <c r="G1133" s="183"/>
      <c r="H1133" s="183"/>
      <c r="I1133" s="183"/>
      <c r="J1133" s="183"/>
      <c r="K1133" s="183"/>
      <c r="L1133" s="183"/>
      <c r="M1133" s="183"/>
      <c r="N1133" s="183"/>
      <c r="O1133" s="183"/>
      <c r="P1133" s="183"/>
      <c r="Q1133" s="183"/>
      <c r="R1133" s="183"/>
      <c r="S1133" s="183"/>
      <c r="T1133" s="183"/>
      <c r="U1133" s="183"/>
      <c r="V1133" s="183"/>
      <c r="W1133" s="183"/>
      <c r="X1133" s="183"/>
      <c r="Y1133" s="183"/>
      <c r="Z1133" s="183"/>
      <c r="AA1133" s="183"/>
    </row>
    <row r="1134">
      <c r="A1134" s="183"/>
      <c r="B1134" s="183"/>
      <c r="C1134" s="183"/>
      <c r="D1134" s="183"/>
      <c r="E1134" s="219"/>
      <c r="F1134" s="219"/>
      <c r="G1134" s="183"/>
      <c r="H1134" s="183"/>
      <c r="I1134" s="183"/>
      <c r="J1134" s="183"/>
      <c r="K1134" s="183"/>
      <c r="L1134" s="183"/>
      <c r="M1134" s="183"/>
      <c r="N1134" s="183"/>
      <c r="O1134" s="183"/>
      <c r="P1134" s="183"/>
      <c r="Q1134" s="183"/>
      <c r="R1134" s="183"/>
      <c r="S1134" s="183"/>
      <c r="T1134" s="183"/>
      <c r="U1134" s="183"/>
      <c r="V1134" s="183"/>
      <c r="W1134" s="183"/>
      <c r="X1134" s="183"/>
      <c r="Y1134" s="183"/>
      <c r="Z1134" s="183"/>
      <c r="AA1134" s="183"/>
    </row>
    <row r="1135">
      <c r="A1135" s="183"/>
      <c r="B1135" s="183"/>
      <c r="C1135" s="183"/>
      <c r="D1135" s="183"/>
      <c r="E1135" s="219"/>
      <c r="F1135" s="219"/>
      <c r="G1135" s="183"/>
      <c r="H1135" s="183"/>
      <c r="I1135" s="183"/>
      <c r="J1135" s="183"/>
      <c r="K1135" s="183"/>
      <c r="L1135" s="183"/>
      <c r="M1135" s="183"/>
      <c r="N1135" s="183"/>
      <c r="O1135" s="183"/>
      <c r="P1135" s="183"/>
      <c r="Q1135" s="183"/>
      <c r="R1135" s="183"/>
      <c r="S1135" s="183"/>
      <c r="T1135" s="183"/>
      <c r="U1135" s="183"/>
      <c r="V1135" s="183"/>
      <c r="W1135" s="183"/>
      <c r="X1135" s="183"/>
      <c r="Y1135" s="183"/>
      <c r="Z1135" s="183"/>
      <c r="AA1135" s="183"/>
    </row>
    <row r="1136">
      <c r="A1136" s="183"/>
      <c r="B1136" s="183"/>
      <c r="C1136" s="183"/>
      <c r="D1136" s="183"/>
      <c r="E1136" s="219"/>
      <c r="F1136" s="219"/>
      <c r="G1136" s="183"/>
      <c r="H1136" s="183"/>
      <c r="I1136" s="183"/>
      <c r="J1136" s="183"/>
      <c r="K1136" s="183"/>
      <c r="L1136" s="183"/>
      <c r="M1136" s="183"/>
      <c r="N1136" s="183"/>
      <c r="O1136" s="183"/>
      <c r="P1136" s="183"/>
      <c r="Q1136" s="183"/>
      <c r="R1136" s="183"/>
      <c r="S1136" s="183"/>
      <c r="T1136" s="183"/>
      <c r="U1136" s="183"/>
      <c r="V1136" s="183"/>
      <c r="W1136" s="183"/>
      <c r="X1136" s="183"/>
      <c r="Y1136" s="183"/>
      <c r="Z1136" s="183"/>
      <c r="AA1136" s="183"/>
    </row>
    <row r="1137">
      <c r="A1137" s="183"/>
      <c r="B1137" s="183"/>
      <c r="C1137" s="183"/>
      <c r="D1137" s="183"/>
      <c r="E1137" s="219"/>
      <c r="F1137" s="219"/>
      <c r="G1137" s="183"/>
      <c r="H1137" s="183"/>
      <c r="I1137" s="183"/>
      <c r="J1137" s="183"/>
      <c r="K1137" s="183"/>
      <c r="L1137" s="183"/>
      <c r="M1137" s="183"/>
      <c r="N1137" s="183"/>
      <c r="O1137" s="183"/>
      <c r="P1137" s="183"/>
      <c r="Q1137" s="183"/>
      <c r="R1137" s="183"/>
      <c r="S1137" s="183"/>
      <c r="T1137" s="183"/>
      <c r="U1137" s="183"/>
      <c r="V1137" s="183"/>
      <c r="W1137" s="183"/>
      <c r="X1137" s="183"/>
      <c r="Y1137" s="183"/>
      <c r="Z1137" s="183"/>
      <c r="AA1137" s="183"/>
    </row>
    <row r="1138">
      <c r="A1138" s="183"/>
      <c r="B1138" s="183"/>
      <c r="C1138" s="183"/>
      <c r="D1138" s="183"/>
      <c r="E1138" s="219"/>
      <c r="F1138" s="219"/>
      <c r="G1138" s="183"/>
      <c r="H1138" s="183"/>
      <c r="I1138" s="183"/>
      <c r="J1138" s="183"/>
      <c r="K1138" s="183"/>
      <c r="L1138" s="183"/>
      <c r="M1138" s="183"/>
      <c r="N1138" s="183"/>
      <c r="O1138" s="183"/>
      <c r="P1138" s="183"/>
      <c r="Q1138" s="183"/>
      <c r="R1138" s="183"/>
      <c r="S1138" s="183"/>
      <c r="T1138" s="183"/>
      <c r="U1138" s="183"/>
      <c r="V1138" s="183"/>
      <c r="W1138" s="183"/>
      <c r="X1138" s="183"/>
      <c r="Y1138" s="183"/>
      <c r="Z1138" s="183"/>
      <c r="AA1138" s="183"/>
    </row>
    <row r="1139">
      <c r="A1139" s="183"/>
      <c r="B1139" s="183"/>
      <c r="C1139" s="183"/>
      <c r="D1139" s="183"/>
      <c r="E1139" s="219"/>
      <c r="F1139" s="219"/>
      <c r="G1139" s="183"/>
      <c r="H1139" s="183"/>
      <c r="I1139" s="183"/>
      <c r="J1139" s="183"/>
      <c r="K1139" s="183"/>
      <c r="L1139" s="183"/>
      <c r="M1139" s="183"/>
      <c r="N1139" s="183"/>
      <c r="O1139" s="183"/>
      <c r="P1139" s="183"/>
      <c r="Q1139" s="183"/>
      <c r="R1139" s="183"/>
      <c r="S1139" s="183"/>
      <c r="T1139" s="183"/>
      <c r="U1139" s="183"/>
      <c r="V1139" s="183"/>
      <c r="W1139" s="183"/>
      <c r="X1139" s="183"/>
      <c r="Y1139" s="183"/>
      <c r="Z1139" s="183"/>
      <c r="AA1139" s="183"/>
    </row>
    <row r="1140">
      <c r="A1140" s="183"/>
      <c r="B1140" s="183"/>
      <c r="C1140" s="183"/>
      <c r="D1140" s="183"/>
      <c r="E1140" s="219"/>
      <c r="F1140" s="219"/>
      <c r="G1140" s="183"/>
      <c r="H1140" s="183"/>
      <c r="I1140" s="183"/>
      <c r="J1140" s="183"/>
      <c r="K1140" s="183"/>
      <c r="L1140" s="183"/>
      <c r="M1140" s="183"/>
      <c r="N1140" s="183"/>
      <c r="O1140" s="183"/>
      <c r="P1140" s="183"/>
      <c r="Q1140" s="183"/>
      <c r="R1140" s="183"/>
      <c r="S1140" s="183"/>
      <c r="T1140" s="183"/>
      <c r="U1140" s="183"/>
      <c r="V1140" s="183"/>
      <c r="W1140" s="183"/>
      <c r="X1140" s="183"/>
      <c r="Y1140" s="183"/>
      <c r="Z1140" s="183"/>
      <c r="AA1140" s="183"/>
    </row>
    <row r="1141">
      <c r="A1141" s="183"/>
      <c r="B1141" s="183"/>
      <c r="C1141" s="183"/>
      <c r="D1141" s="183"/>
      <c r="E1141" s="219"/>
      <c r="F1141" s="219"/>
      <c r="G1141" s="183"/>
      <c r="H1141" s="183"/>
      <c r="I1141" s="183"/>
      <c r="J1141" s="183"/>
      <c r="K1141" s="183"/>
      <c r="L1141" s="183"/>
      <c r="M1141" s="183"/>
      <c r="N1141" s="183"/>
      <c r="O1141" s="183"/>
      <c r="P1141" s="183"/>
      <c r="Q1141" s="183"/>
      <c r="R1141" s="183"/>
      <c r="S1141" s="183"/>
      <c r="T1141" s="183"/>
      <c r="U1141" s="183"/>
      <c r="V1141" s="183"/>
      <c r="W1141" s="183"/>
      <c r="X1141" s="183"/>
      <c r="Y1141" s="183"/>
      <c r="Z1141" s="183"/>
      <c r="AA1141" s="183"/>
    </row>
    <row r="1142">
      <c r="A1142" s="183"/>
      <c r="B1142" s="183"/>
      <c r="C1142" s="183"/>
      <c r="D1142" s="183"/>
      <c r="E1142" s="219"/>
      <c r="F1142" s="219"/>
      <c r="G1142" s="183"/>
      <c r="H1142" s="183"/>
      <c r="I1142" s="183"/>
      <c r="J1142" s="183"/>
      <c r="K1142" s="183"/>
      <c r="L1142" s="183"/>
      <c r="M1142" s="183"/>
      <c r="N1142" s="183"/>
      <c r="O1142" s="183"/>
      <c r="P1142" s="183"/>
      <c r="Q1142" s="183"/>
      <c r="R1142" s="183"/>
      <c r="S1142" s="183"/>
      <c r="T1142" s="183"/>
      <c r="U1142" s="183"/>
      <c r="V1142" s="183"/>
      <c r="W1142" s="183"/>
      <c r="X1142" s="183"/>
      <c r="Y1142" s="183"/>
      <c r="Z1142" s="183"/>
      <c r="AA1142" s="183"/>
    </row>
    <row r="1143">
      <c r="A1143" s="183"/>
      <c r="B1143" s="183"/>
      <c r="C1143" s="183"/>
      <c r="D1143" s="183"/>
      <c r="E1143" s="219"/>
      <c r="F1143" s="219"/>
      <c r="G1143" s="183"/>
      <c r="H1143" s="183"/>
      <c r="I1143" s="183"/>
      <c r="J1143" s="183"/>
      <c r="K1143" s="183"/>
      <c r="L1143" s="183"/>
      <c r="M1143" s="183"/>
      <c r="N1143" s="183"/>
      <c r="O1143" s="183"/>
      <c r="P1143" s="183"/>
      <c r="Q1143" s="183"/>
      <c r="R1143" s="183"/>
      <c r="S1143" s="183"/>
      <c r="T1143" s="183"/>
      <c r="U1143" s="183"/>
      <c r="V1143" s="183"/>
      <c r="W1143" s="183"/>
      <c r="X1143" s="183"/>
      <c r="Y1143" s="183"/>
      <c r="Z1143" s="183"/>
      <c r="AA1143" s="183"/>
    </row>
    <row r="1144">
      <c r="A1144" s="183"/>
      <c r="B1144" s="183"/>
      <c r="C1144" s="183"/>
      <c r="D1144" s="183"/>
      <c r="E1144" s="219"/>
      <c r="F1144" s="219"/>
      <c r="G1144" s="183"/>
      <c r="H1144" s="183"/>
      <c r="I1144" s="183"/>
      <c r="J1144" s="183"/>
      <c r="K1144" s="183"/>
      <c r="L1144" s="183"/>
      <c r="M1144" s="183"/>
      <c r="N1144" s="183"/>
      <c r="O1144" s="183"/>
      <c r="P1144" s="183"/>
      <c r="Q1144" s="183"/>
      <c r="R1144" s="183"/>
      <c r="S1144" s="183"/>
      <c r="T1144" s="183"/>
      <c r="U1144" s="183"/>
      <c r="V1144" s="183"/>
      <c r="W1144" s="183"/>
      <c r="X1144" s="183"/>
      <c r="Y1144" s="183"/>
      <c r="Z1144" s="183"/>
      <c r="AA1144" s="183"/>
    </row>
    <row r="1145">
      <c r="A1145" s="183"/>
      <c r="B1145" s="183"/>
      <c r="C1145" s="183"/>
      <c r="D1145" s="183"/>
      <c r="E1145" s="219"/>
      <c r="F1145" s="219"/>
      <c r="G1145" s="183"/>
      <c r="H1145" s="183"/>
      <c r="I1145" s="183"/>
      <c r="J1145" s="183"/>
      <c r="K1145" s="183"/>
      <c r="L1145" s="183"/>
      <c r="M1145" s="183"/>
      <c r="N1145" s="183"/>
      <c r="O1145" s="183"/>
      <c r="P1145" s="183"/>
      <c r="Q1145" s="183"/>
      <c r="R1145" s="183"/>
      <c r="S1145" s="183"/>
      <c r="T1145" s="183"/>
      <c r="U1145" s="183"/>
      <c r="V1145" s="183"/>
      <c r="W1145" s="183"/>
      <c r="X1145" s="183"/>
      <c r="Y1145" s="183"/>
      <c r="Z1145" s="183"/>
      <c r="AA1145" s="183"/>
    </row>
    <row r="1146">
      <c r="A1146" s="183"/>
      <c r="B1146" s="183"/>
      <c r="C1146" s="183"/>
      <c r="D1146" s="183"/>
      <c r="E1146" s="219"/>
      <c r="F1146" s="219"/>
      <c r="G1146" s="183"/>
      <c r="H1146" s="183"/>
      <c r="I1146" s="183"/>
      <c r="J1146" s="183"/>
      <c r="K1146" s="183"/>
      <c r="L1146" s="183"/>
      <c r="M1146" s="183"/>
      <c r="N1146" s="183"/>
      <c r="O1146" s="183"/>
      <c r="P1146" s="183"/>
      <c r="Q1146" s="183"/>
      <c r="R1146" s="183"/>
      <c r="S1146" s="183"/>
      <c r="T1146" s="183"/>
      <c r="U1146" s="183"/>
      <c r="V1146" s="183"/>
      <c r="W1146" s="183"/>
      <c r="X1146" s="183"/>
      <c r="Y1146" s="183"/>
      <c r="Z1146" s="183"/>
      <c r="AA1146" s="183"/>
    </row>
    <row r="1147">
      <c r="A1147" s="183"/>
      <c r="B1147" s="183"/>
      <c r="C1147" s="183"/>
      <c r="D1147" s="183"/>
      <c r="E1147" s="219"/>
      <c r="F1147" s="219"/>
      <c r="G1147" s="183"/>
      <c r="H1147" s="183"/>
      <c r="I1147" s="183"/>
      <c r="J1147" s="183"/>
      <c r="K1147" s="183"/>
      <c r="L1147" s="183"/>
      <c r="M1147" s="183"/>
      <c r="N1147" s="183"/>
      <c r="O1147" s="183"/>
      <c r="P1147" s="183"/>
      <c r="Q1147" s="183"/>
      <c r="R1147" s="183"/>
      <c r="S1147" s="183"/>
      <c r="T1147" s="183"/>
      <c r="U1147" s="183"/>
      <c r="V1147" s="183"/>
      <c r="W1147" s="183"/>
      <c r="X1147" s="183"/>
      <c r="Y1147" s="183"/>
      <c r="Z1147" s="183"/>
      <c r="AA1147" s="183"/>
    </row>
    <row r="1148">
      <c r="A1148" s="183"/>
      <c r="B1148" s="183"/>
      <c r="C1148" s="183"/>
      <c r="D1148" s="183"/>
      <c r="E1148" s="219"/>
      <c r="F1148" s="219"/>
      <c r="G1148" s="183"/>
      <c r="H1148" s="183"/>
      <c r="I1148" s="183"/>
      <c r="J1148" s="183"/>
      <c r="K1148" s="183"/>
      <c r="L1148" s="183"/>
      <c r="M1148" s="183"/>
      <c r="N1148" s="183"/>
      <c r="O1148" s="183"/>
      <c r="P1148" s="183"/>
      <c r="Q1148" s="183"/>
      <c r="R1148" s="183"/>
      <c r="S1148" s="183"/>
      <c r="T1148" s="183"/>
      <c r="U1148" s="183"/>
      <c r="V1148" s="183"/>
      <c r="W1148" s="183"/>
      <c r="X1148" s="183"/>
      <c r="Y1148" s="183"/>
      <c r="Z1148" s="183"/>
      <c r="AA1148" s="183"/>
    </row>
    <row r="1149">
      <c r="A1149" s="183"/>
      <c r="B1149" s="183"/>
      <c r="C1149" s="183"/>
      <c r="D1149" s="183"/>
      <c r="E1149" s="219"/>
      <c r="F1149" s="219"/>
      <c r="G1149" s="183"/>
      <c r="H1149" s="183"/>
      <c r="I1149" s="183"/>
      <c r="J1149" s="183"/>
      <c r="K1149" s="183"/>
      <c r="L1149" s="183"/>
      <c r="M1149" s="183"/>
      <c r="N1149" s="183"/>
      <c r="O1149" s="183"/>
      <c r="P1149" s="183"/>
      <c r="Q1149" s="183"/>
      <c r="R1149" s="183"/>
      <c r="S1149" s="183"/>
      <c r="T1149" s="183"/>
      <c r="U1149" s="183"/>
      <c r="V1149" s="183"/>
      <c r="W1149" s="183"/>
      <c r="X1149" s="183"/>
      <c r="Y1149" s="183"/>
      <c r="Z1149" s="183"/>
      <c r="AA1149" s="183"/>
    </row>
    <row r="1150">
      <c r="A1150" s="183"/>
      <c r="B1150" s="183"/>
      <c r="C1150" s="183"/>
      <c r="D1150" s="183"/>
      <c r="E1150" s="219"/>
      <c r="F1150" s="219"/>
      <c r="G1150" s="183"/>
      <c r="H1150" s="183"/>
      <c r="I1150" s="183"/>
      <c r="J1150" s="183"/>
      <c r="K1150" s="183"/>
      <c r="L1150" s="183"/>
      <c r="M1150" s="183"/>
      <c r="N1150" s="183"/>
      <c r="O1150" s="183"/>
      <c r="P1150" s="183"/>
      <c r="Q1150" s="183"/>
      <c r="R1150" s="183"/>
      <c r="S1150" s="183"/>
      <c r="T1150" s="183"/>
      <c r="U1150" s="183"/>
      <c r="V1150" s="183"/>
      <c r="W1150" s="183"/>
      <c r="X1150" s="183"/>
      <c r="Y1150" s="183"/>
      <c r="Z1150" s="183"/>
      <c r="AA1150" s="183"/>
    </row>
    <row r="1151">
      <c r="A1151" s="183"/>
      <c r="B1151" s="183"/>
      <c r="C1151" s="183"/>
      <c r="D1151" s="183"/>
      <c r="E1151" s="219"/>
      <c r="F1151" s="219"/>
      <c r="G1151" s="183"/>
      <c r="H1151" s="183"/>
      <c r="I1151" s="183"/>
      <c r="J1151" s="183"/>
      <c r="K1151" s="183"/>
      <c r="L1151" s="183"/>
      <c r="M1151" s="183"/>
      <c r="N1151" s="183"/>
      <c r="O1151" s="183"/>
      <c r="P1151" s="183"/>
      <c r="Q1151" s="183"/>
      <c r="R1151" s="183"/>
      <c r="S1151" s="183"/>
      <c r="T1151" s="183"/>
      <c r="U1151" s="183"/>
      <c r="V1151" s="183"/>
      <c r="W1151" s="183"/>
      <c r="X1151" s="183"/>
      <c r="Y1151" s="183"/>
      <c r="Z1151" s="183"/>
      <c r="AA1151" s="183"/>
    </row>
    <row r="1152">
      <c r="A1152" s="183"/>
      <c r="B1152" s="183"/>
      <c r="C1152" s="183"/>
      <c r="D1152" s="183"/>
      <c r="E1152" s="219"/>
      <c r="F1152" s="219"/>
      <c r="G1152" s="183"/>
      <c r="H1152" s="183"/>
      <c r="I1152" s="183"/>
      <c r="J1152" s="183"/>
      <c r="K1152" s="183"/>
      <c r="L1152" s="183"/>
      <c r="M1152" s="183"/>
      <c r="N1152" s="183"/>
      <c r="O1152" s="183"/>
      <c r="P1152" s="183"/>
      <c r="Q1152" s="183"/>
      <c r="R1152" s="183"/>
      <c r="S1152" s="183"/>
      <c r="T1152" s="183"/>
      <c r="U1152" s="183"/>
      <c r="V1152" s="183"/>
      <c r="W1152" s="183"/>
      <c r="X1152" s="183"/>
      <c r="Y1152" s="183"/>
      <c r="Z1152" s="183"/>
      <c r="AA1152" s="183"/>
    </row>
    <row r="1153">
      <c r="A1153" s="183"/>
      <c r="B1153" s="183"/>
      <c r="C1153" s="183"/>
      <c r="D1153" s="183"/>
      <c r="E1153" s="219"/>
      <c r="F1153" s="219"/>
      <c r="G1153" s="183"/>
      <c r="H1153" s="183"/>
      <c r="I1153" s="183"/>
      <c r="J1153" s="183"/>
      <c r="K1153" s="183"/>
      <c r="L1153" s="183"/>
      <c r="M1153" s="183"/>
      <c r="N1153" s="183"/>
      <c r="O1153" s="183"/>
      <c r="P1153" s="183"/>
      <c r="Q1153" s="183"/>
      <c r="R1153" s="183"/>
      <c r="S1153" s="183"/>
      <c r="T1153" s="183"/>
      <c r="U1153" s="183"/>
      <c r="V1153" s="183"/>
      <c r="W1153" s="183"/>
      <c r="X1153" s="183"/>
      <c r="Y1153" s="183"/>
      <c r="Z1153" s="183"/>
      <c r="AA1153" s="183"/>
    </row>
    <row r="1154">
      <c r="A1154" s="183"/>
      <c r="B1154" s="183"/>
      <c r="C1154" s="183"/>
      <c r="D1154" s="183"/>
      <c r="E1154" s="219"/>
      <c r="F1154" s="219"/>
      <c r="G1154" s="183"/>
      <c r="H1154" s="183"/>
      <c r="I1154" s="183"/>
      <c r="J1154" s="183"/>
      <c r="K1154" s="183"/>
      <c r="L1154" s="183"/>
      <c r="M1154" s="183"/>
      <c r="N1154" s="183"/>
      <c r="O1154" s="183"/>
      <c r="P1154" s="183"/>
      <c r="Q1154" s="183"/>
      <c r="R1154" s="183"/>
      <c r="S1154" s="183"/>
      <c r="T1154" s="183"/>
      <c r="U1154" s="183"/>
      <c r="V1154" s="183"/>
      <c r="W1154" s="183"/>
      <c r="X1154" s="183"/>
      <c r="Y1154" s="183"/>
      <c r="Z1154" s="183"/>
      <c r="AA1154" s="183"/>
    </row>
    <row r="1155">
      <c r="A1155" s="183"/>
      <c r="B1155" s="183"/>
      <c r="C1155" s="183"/>
      <c r="D1155" s="183"/>
      <c r="E1155" s="219"/>
      <c r="F1155" s="219"/>
      <c r="G1155" s="183"/>
      <c r="H1155" s="183"/>
      <c r="I1155" s="183"/>
      <c r="J1155" s="183"/>
      <c r="K1155" s="183"/>
      <c r="L1155" s="183"/>
      <c r="M1155" s="183"/>
      <c r="N1155" s="183"/>
      <c r="O1155" s="183"/>
      <c r="P1155" s="183"/>
      <c r="Q1155" s="183"/>
      <c r="R1155" s="183"/>
      <c r="S1155" s="183"/>
      <c r="T1155" s="183"/>
      <c r="U1155" s="183"/>
      <c r="V1155" s="183"/>
      <c r="W1155" s="183"/>
      <c r="X1155" s="183"/>
      <c r="Y1155" s="183"/>
      <c r="Z1155" s="183"/>
      <c r="AA1155" s="183"/>
    </row>
    <row r="1156">
      <c r="A1156" s="183"/>
      <c r="B1156" s="183"/>
      <c r="C1156" s="183"/>
      <c r="D1156" s="183"/>
      <c r="E1156" s="219"/>
      <c r="F1156" s="219"/>
      <c r="G1156" s="183"/>
      <c r="H1156" s="183"/>
      <c r="I1156" s="183"/>
      <c r="J1156" s="183"/>
      <c r="K1156" s="183"/>
      <c r="L1156" s="183"/>
      <c r="M1156" s="183"/>
      <c r="N1156" s="183"/>
      <c r="O1156" s="183"/>
      <c r="P1156" s="183"/>
      <c r="Q1156" s="183"/>
      <c r="R1156" s="183"/>
      <c r="S1156" s="183"/>
      <c r="T1156" s="183"/>
      <c r="U1156" s="183"/>
      <c r="V1156" s="183"/>
      <c r="W1156" s="183"/>
      <c r="X1156" s="183"/>
      <c r="Y1156" s="183"/>
      <c r="Z1156" s="183"/>
      <c r="AA1156" s="183"/>
    </row>
    <row r="1157">
      <c r="A1157" s="183"/>
      <c r="B1157" s="183"/>
      <c r="C1157" s="183"/>
      <c r="D1157" s="183"/>
      <c r="E1157" s="219"/>
      <c r="F1157" s="219"/>
      <c r="G1157" s="183"/>
      <c r="H1157" s="183"/>
      <c r="I1157" s="183"/>
      <c r="J1157" s="183"/>
      <c r="K1157" s="183"/>
      <c r="L1157" s="183"/>
      <c r="M1157" s="183"/>
      <c r="N1157" s="183"/>
      <c r="O1157" s="183"/>
      <c r="P1157" s="183"/>
      <c r="Q1157" s="183"/>
      <c r="R1157" s="183"/>
      <c r="S1157" s="183"/>
      <c r="T1157" s="183"/>
      <c r="U1157" s="183"/>
      <c r="V1157" s="183"/>
      <c r="W1157" s="183"/>
      <c r="X1157" s="183"/>
      <c r="Y1157" s="183"/>
      <c r="Z1157" s="183"/>
      <c r="AA1157" s="183"/>
    </row>
    <row r="1158">
      <c r="A1158" s="183"/>
      <c r="B1158" s="183"/>
      <c r="C1158" s="183"/>
      <c r="D1158" s="183"/>
      <c r="E1158" s="219"/>
      <c r="F1158" s="219"/>
      <c r="G1158" s="183"/>
      <c r="H1158" s="183"/>
      <c r="I1158" s="183"/>
      <c r="J1158" s="183"/>
      <c r="K1158" s="183"/>
      <c r="L1158" s="183"/>
      <c r="M1158" s="183"/>
      <c r="N1158" s="183"/>
      <c r="O1158" s="183"/>
      <c r="P1158" s="183"/>
      <c r="Q1158" s="183"/>
      <c r="R1158" s="183"/>
      <c r="S1158" s="183"/>
      <c r="T1158" s="183"/>
      <c r="U1158" s="183"/>
      <c r="V1158" s="183"/>
      <c r="W1158" s="183"/>
      <c r="X1158" s="183"/>
      <c r="Y1158" s="183"/>
      <c r="Z1158" s="183"/>
      <c r="AA1158" s="183"/>
    </row>
    <row r="1159">
      <c r="A1159" s="183"/>
      <c r="B1159" s="183"/>
      <c r="C1159" s="183"/>
      <c r="D1159" s="183"/>
      <c r="E1159" s="219"/>
      <c r="F1159" s="219"/>
      <c r="G1159" s="183"/>
      <c r="H1159" s="183"/>
      <c r="I1159" s="183"/>
      <c r="J1159" s="183"/>
      <c r="K1159" s="183"/>
      <c r="L1159" s="183"/>
      <c r="M1159" s="183"/>
      <c r="N1159" s="183"/>
      <c r="O1159" s="183"/>
      <c r="P1159" s="183"/>
      <c r="Q1159" s="183"/>
      <c r="R1159" s="183"/>
      <c r="S1159" s="183"/>
      <c r="T1159" s="183"/>
      <c r="U1159" s="183"/>
      <c r="V1159" s="183"/>
      <c r="W1159" s="183"/>
      <c r="X1159" s="183"/>
      <c r="Y1159" s="183"/>
      <c r="Z1159" s="183"/>
      <c r="AA1159" s="183"/>
    </row>
    <row r="1160">
      <c r="A1160" s="183"/>
      <c r="B1160" s="183"/>
      <c r="C1160" s="183"/>
      <c r="D1160" s="183"/>
      <c r="E1160" s="219"/>
      <c r="F1160" s="219"/>
      <c r="G1160" s="183"/>
      <c r="H1160" s="183"/>
      <c r="I1160" s="183"/>
      <c r="J1160" s="183"/>
      <c r="K1160" s="183"/>
      <c r="L1160" s="183"/>
      <c r="M1160" s="183"/>
      <c r="N1160" s="183"/>
      <c r="O1160" s="183"/>
      <c r="P1160" s="183"/>
      <c r="Q1160" s="183"/>
      <c r="R1160" s="183"/>
      <c r="S1160" s="183"/>
      <c r="T1160" s="183"/>
      <c r="U1160" s="183"/>
      <c r="V1160" s="183"/>
      <c r="W1160" s="183"/>
      <c r="X1160" s="183"/>
      <c r="Y1160" s="183"/>
      <c r="Z1160" s="183"/>
      <c r="AA1160" s="183"/>
    </row>
    <row r="1161">
      <c r="A1161" s="183"/>
      <c r="B1161" s="183"/>
      <c r="C1161" s="183"/>
      <c r="D1161" s="183"/>
      <c r="E1161" s="219"/>
      <c r="F1161" s="219"/>
      <c r="G1161" s="183"/>
      <c r="H1161" s="183"/>
      <c r="I1161" s="183"/>
      <c r="J1161" s="183"/>
      <c r="K1161" s="183"/>
      <c r="L1161" s="183"/>
      <c r="M1161" s="183"/>
      <c r="N1161" s="183"/>
      <c r="O1161" s="183"/>
      <c r="P1161" s="183"/>
      <c r="Q1161" s="183"/>
      <c r="R1161" s="183"/>
      <c r="S1161" s="183"/>
      <c r="T1161" s="183"/>
      <c r="U1161" s="183"/>
      <c r="V1161" s="183"/>
      <c r="W1161" s="183"/>
      <c r="X1161" s="183"/>
      <c r="Y1161" s="183"/>
      <c r="Z1161" s="183"/>
      <c r="AA1161" s="183"/>
    </row>
    <row r="1162">
      <c r="A1162" s="183"/>
      <c r="B1162" s="183"/>
      <c r="C1162" s="183"/>
      <c r="D1162" s="183"/>
      <c r="E1162" s="219"/>
      <c r="F1162" s="219"/>
      <c r="G1162" s="183"/>
      <c r="H1162" s="183"/>
      <c r="I1162" s="183"/>
      <c r="J1162" s="183"/>
      <c r="K1162" s="183"/>
      <c r="L1162" s="183"/>
      <c r="M1162" s="183"/>
      <c r="N1162" s="183"/>
      <c r="O1162" s="183"/>
      <c r="P1162" s="183"/>
      <c r="Q1162" s="183"/>
      <c r="R1162" s="183"/>
      <c r="S1162" s="183"/>
      <c r="T1162" s="183"/>
      <c r="U1162" s="183"/>
      <c r="V1162" s="183"/>
      <c r="W1162" s="183"/>
      <c r="X1162" s="183"/>
      <c r="Y1162" s="183"/>
      <c r="Z1162" s="183"/>
      <c r="AA1162" s="183"/>
    </row>
    <row r="1163">
      <c r="A1163" s="183"/>
      <c r="B1163" s="183"/>
      <c r="C1163" s="183"/>
      <c r="D1163" s="183"/>
      <c r="E1163" s="219"/>
      <c r="F1163" s="219"/>
      <c r="G1163" s="183"/>
      <c r="H1163" s="183"/>
      <c r="I1163" s="183"/>
      <c r="J1163" s="183"/>
      <c r="K1163" s="183"/>
      <c r="L1163" s="183"/>
      <c r="M1163" s="183"/>
      <c r="N1163" s="183"/>
      <c r="O1163" s="183"/>
      <c r="P1163" s="183"/>
      <c r="Q1163" s="183"/>
      <c r="R1163" s="183"/>
      <c r="S1163" s="183"/>
      <c r="T1163" s="183"/>
      <c r="U1163" s="183"/>
      <c r="V1163" s="183"/>
      <c r="W1163" s="183"/>
      <c r="X1163" s="183"/>
      <c r="Y1163" s="183"/>
      <c r="Z1163" s="183"/>
      <c r="AA1163" s="183"/>
    </row>
    <row r="1164">
      <c r="A1164" s="183"/>
      <c r="B1164" s="183"/>
      <c r="C1164" s="183"/>
      <c r="D1164" s="183"/>
      <c r="E1164" s="219"/>
      <c r="F1164" s="219"/>
      <c r="G1164" s="183"/>
      <c r="H1164" s="183"/>
      <c r="I1164" s="183"/>
      <c r="J1164" s="183"/>
      <c r="K1164" s="183"/>
      <c r="L1164" s="183"/>
      <c r="M1164" s="183"/>
      <c r="N1164" s="183"/>
      <c r="O1164" s="183"/>
      <c r="P1164" s="183"/>
      <c r="Q1164" s="183"/>
      <c r="R1164" s="183"/>
      <c r="S1164" s="183"/>
      <c r="T1164" s="183"/>
      <c r="U1164" s="183"/>
      <c r="V1164" s="183"/>
      <c r="W1164" s="183"/>
      <c r="X1164" s="183"/>
      <c r="Y1164" s="183"/>
      <c r="Z1164" s="183"/>
      <c r="AA1164" s="183"/>
    </row>
    <row r="1165">
      <c r="A1165" s="183"/>
      <c r="B1165" s="183"/>
      <c r="C1165" s="183"/>
      <c r="D1165" s="183"/>
      <c r="E1165" s="219"/>
      <c r="F1165" s="219"/>
      <c r="G1165" s="183"/>
      <c r="H1165" s="183"/>
      <c r="I1165" s="183"/>
      <c r="J1165" s="183"/>
      <c r="K1165" s="183"/>
      <c r="L1165" s="183"/>
      <c r="M1165" s="183"/>
      <c r="N1165" s="183"/>
      <c r="O1165" s="183"/>
      <c r="P1165" s="183"/>
      <c r="Q1165" s="183"/>
      <c r="R1165" s="183"/>
      <c r="S1165" s="183"/>
      <c r="T1165" s="183"/>
      <c r="U1165" s="183"/>
      <c r="V1165" s="183"/>
      <c r="W1165" s="183"/>
      <c r="X1165" s="183"/>
      <c r="Y1165" s="183"/>
      <c r="Z1165" s="183"/>
      <c r="AA1165" s="183"/>
    </row>
    <row r="1166">
      <c r="A1166" s="183"/>
      <c r="B1166" s="183"/>
      <c r="C1166" s="183"/>
      <c r="D1166" s="183"/>
      <c r="E1166" s="219"/>
      <c r="F1166" s="219"/>
      <c r="G1166" s="183"/>
      <c r="H1166" s="183"/>
      <c r="I1166" s="183"/>
      <c r="J1166" s="183"/>
      <c r="K1166" s="183"/>
      <c r="L1166" s="183"/>
      <c r="M1166" s="183"/>
      <c r="N1166" s="183"/>
      <c r="O1166" s="183"/>
      <c r="P1166" s="183"/>
      <c r="Q1166" s="183"/>
      <c r="R1166" s="183"/>
      <c r="S1166" s="183"/>
      <c r="T1166" s="183"/>
      <c r="U1166" s="183"/>
      <c r="V1166" s="183"/>
      <c r="W1166" s="183"/>
      <c r="X1166" s="183"/>
      <c r="Y1166" s="183"/>
      <c r="Z1166" s="183"/>
      <c r="AA1166" s="183"/>
    </row>
    <row r="1167">
      <c r="A1167" s="183"/>
      <c r="B1167" s="183"/>
      <c r="C1167" s="183"/>
      <c r="D1167" s="183"/>
      <c r="E1167" s="219"/>
      <c r="F1167" s="219"/>
      <c r="G1167" s="183"/>
      <c r="H1167" s="183"/>
      <c r="I1167" s="183"/>
      <c r="J1167" s="183"/>
      <c r="K1167" s="183"/>
      <c r="L1167" s="183"/>
      <c r="M1167" s="183"/>
      <c r="N1167" s="183"/>
      <c r="O1167" s="183"/>
      <c r="P1167" s="183"/>
      <c r="Q1167" s="183"/>
      <c r="R1167" s="183"/>
      <c r="S1167" s="183"/>
      <c r="T1167" s="183"/>
      <c r="U1167" s="183"/>
      <c r="V1167" s="183"/>
      <c r="W1167" s="183"/>
      <c r="X1167" s="183"/>
      <c r="Y1167" s="183"/>
      <c r="Z1167" s="183"/>
      <c r="AA1167" s="183"/>
    </row>
    <row r="1168">
      <c r="A1168" s="183"/>
      <c r="B1168" s="183"/>
      <c r="C1168" s="183"/>
      <c r="D1168" s="183"/>
      <c r="E1168" s="219"/>
      <c r="F1168" s="219"/>
      <c r="G1168" s="183"/>
      <c r="H1168" s="183"/>
      <c r="I1168" s="183"/>
      <c r="J1168" s="183"/>
      <c r="K1168" s="183"/>
      <c r="L1168" s="183"/>
      <c r="M1168" s="183"/>
      <c r="N1168" s="183"/>
      <c r="O1168" s="183"/>
      <c r="P1168" s="183"/>
      <c r="Q1168" s="183"/>
      <c r="R1168" s="183"/>
      <c r="S1168" s="183"/>
      <c r="T1168" s="183"/>
      <c r="U1168" s="183"/>
      <c r="V1168" s="183"/>
      <c r="W1168" s="183"/>
      <c r="X1168" s="183"/>
      <c r="Y1168" s="183"/>
      <c r="Z1168" s="183"/>
      <c r="AA1168" s="183"/>
    </row>
    <row r="1169">
      <c r="A1169" s="183"/>
      <c r="B1169" s="183"/>
      <c r="C1169" s="183"/>
      <c r="D1169" s="183"/>
      <c r="E1169" s="219"/>
      <c r="F1169" s="219"/>
      <c r="G1169" s="183"/>
      <c r="H1169" s="183"/>
      <c r="I1169" s="183"/>
      <c r="J1169" s="183"/>
      <c r="K1169" s="183"/>
      <c r="L1169" s="183"/>
      <c r="M1169" s="183"/>
      <c r="N1169" s="183"/>
      <c r="O1169" s="183"/>
      <c r="P1169" s="183"/>
      <c r="Q1169" s="183"/>
      <c r="R1169" s="183"/>
      <c r="S1169" s="183"/>
      <c r="T1169" s="183"/>
      <c r="U1169" s="183"/>
      <c r="V1169" s="183"/>
      <c r="W1169" s="183"/>
      <c r="X1169" s="183"/>
      <c r="Y1169" s="183"/>
      <c r="Z1169" s="183"/>
      <c r="AA1169" s="183"/>
    </row>
    <row r="1170">
      <c r="A1170" s="183"/>
      <c r="B1170" s="183"/>
      <c r="C1170" s="183"/>
      <c r="D1170" s="183"/>
      <c r="E1170" s="219"/>
      <c r="F1170" s="219"/>
      <c r="G1170" s="183"/>
      <c r="H1170" s="183"/>
      <c r="I1170" s="183"/>
      <c r="J1170" s="183"/>
      <c r="K1170" s="183"/>
      <c r="L1170" s="183"/>
      <c r="M1170" s="183"/>
      <c r="N1170" s="183"/>
      <c r="O1170" s="183"/>
      <c r="P1170" s="183"/>
      <c r="Q1170" s="183"/>
      <c r="R1170" s="183"/>
      <c r="S1170" s="183"/>
      <c r="T1170" s="183"/>
      <c r="U1170" s="183"/>
      <c r="V1170" s="183"/>
      <c r="W1170" s="183"/>
      <c r="X1170" s="183"/>
      <c r="Y1170" s="183"/>
      <c r="Z1170" s="183"/>
      <c r="AA1170" s="183"/>
    </row>
    <row r="1171">
      <c r="A1171" s="183"/>
      <c r="B1171" s="183"/>
      <c r="C1171" s="183"/>
      <c r="D1171" s="183"/>
      <c r="E1171" s="219"/>
      <c r="F1171" s="219"/>
      <c r="G1171" s="183"/>
      <c r="H1171" s="183"/>
      <c r="I1171" s="183"/>
      <c r="J1171" s="183"/>
      <c r="K1171" s="183"/>
      <c r="L1171" s="183"/>
      <c r="M1171" s="183"/>
      <c r="N1171" s="183"/>
      <c r="O1171" s="183"/>
      <c r="P1171" s="183"/>
      <c r="Q1171" s="183"/>
      <c r="R1171" s="183"/>
      <c r="S1171" s="183"/>
      <c r="T1171" s="183"/>
      <c r="U1171" s="183"/>
      <c r="V1171" s="183"/>
      <c r="W1171" s="183"/>
      <c r="X1171" s="183"/>
      <c r="Y1171" s="183"/>
      <c r="Z1171" s="183"/>
      <c r="AA1171" s="183"/>
    </row>
    <row r="1172">
      <c r="A1172" s="183"/>
      <c r="B1172" s="183"/>
      <c r="C1172" s="183"/>
      <c r="D1172" s="183"/>
      <c r="E1172" s="219"/>
      <c r="F1172" s="219"/>
      <c r="G1172" s="183"/>
      <c r="H1172" s="183"/>
      <c r="I1172" s="183"/>
      <c r="J1172" s="183"/>
      <c r="K1172" s="183"/>
      <c r="L1172" s="183"/>
      <c r="M1172" s="183"/>
      <c r="N1172" s="183"/>
      <c r="O1172" s="183"/>
      <c r="P1172" s="183"/>
      <c r="Q1172" s="183"/>
      <c r="R1172" s="183"/>
      <c r="S1172" s="183"/>
      <c r="T1172" s="183"/>
      <c r="U1172" s="183"/>
      <c r="V1172" s="183"/>
      <c r="W1172" s="183"/>
      <c r="X1172" s="183"/>
      <c r="Y1172" s="183"/>
      <c r="Z1172" s="183"/>
      <c r="AA1172" s="183"/>
    </row>
    <row r="1173">
      <c r="A1173" s="183"/>
      <c r="B1173" s="183"/>
      <c r="C1173" s="183"/>
      <c r="D1173" s="183"/>
      <c r="E1173" s="219"/>
      <c r="F1173" s="219"/>
      <c r="G1173" s="183"/>
      <c r="H1173" s="183"/>
      <c r="I1173" s="183"/>
      <c r="J1173" s="183"/>
      <c r="K1173" s="183"/>
      <c r="L1173" s="183"/>
      <c r="M1173" s="183"/>
      <c r="N1173" s="183"/>
      <c r="O1173" s="183"/>
      <c r="P1173" s="183"/>
      <c r="Q1173" s="183"/>
      <c r="R1173" s="183"/>
      <c r="S1173" s="183"/>
      <c r="T1173" s="183"/>
      <c r="U1173" s="183"/>
      <c r="V1173" s="183"/>
      <c r="W1173" s="183"/>
      <c r="X1173" s="183"/>
      <c r="Y1173" s="183"/>
      <c r="Z1173" s="183"/>
      <c r="AA1173" s="183"/>
    </row>
    <row r="1174">
      <c r="A1174" s="183"/>
      <c r="B1174" s="183"/>
      <c r="C1174" s="183"/>
      <c r="D1174" s="183"/>
      <c r="E1174" s="219"/>
      <c r="F1174" s="219"/>
      <c r="G1174" s="183"/>
      <c r="H1174" s="183"/>
      <c r="I1174" s="183"/>
      <c r="J1174" s="183"/>
      <c r="K1174" s="183"/>
      <c r="L1174" s="183"/>
      <c r="M1174" s="183"/>
      <c r="N1174" s="183"/>
      <c r="O1174" s="183"/>
      <c r="P1174" s="183"/>
      <c r="Q1174" s="183"/>
      <c r="R1174" s="183"/>
      <c r="S1174" s="183"/>
      <c r="T1174" s="183"/>
      <c r="U1174" s="183"/>
      <c r="V1174" s="183"/>
      <c r="W1174" s="183"/>
      <c r="X1174" s="183"/>
      <c r="Y1174" s="183"/>
      <c r="Z1174" s="183"/>
      <c r="AA1174" s="183"/>
    </row>
    <row r="1175">
      <c r="A1175" s="183"/>
      <c r="B1175" s="183"/>
      <c r="C1175" s="183"/>
      <c r="D1175" s="183"/>
      <c r="E1175" s="219"/>
      <c r="F1175" s="219"/>
      <c r="G1175" s="183"/>
      <c r="H1175" s="183"/>
      <c r="I1175" s="183"/>
      <c r="J1175" s="183"/>
      <c r="K1175" s="183"/>
      <c r="L1175" s="183"/>
      <c r="M1175" s="183"/>
      <c r="N1175" s="183"/>
      <c r="O1175" s="183"/>
      <c r="P1175" s="183"/>
      <c r="Q1175" s="183"/>
      <c r="R1175" s="183"/>
      <c r="S1175" s="183"/>
      <c r="T1175" s="183"/>
      <c r="U1175" s="183"/>
      <c r="V1175" s="183"/>
      <c r="W1175" s="183"/>
      <c r="X1175" s="183"/>
      <c r="Y1175" s="183"/>
      <c r="Z1175" s="183"/>
      <c r="AA1175" s="183"/>
    </row>
    <row r="1176">
      <c r="A1176" s="183"/>
      <c r="B1176" s="183"/>
      <c r="C1176" s="183"/>
      <c r="D1176" s="183"/>
      <c r="E1176" s="219"/>
      <c r="F1176" s="219"/>
      <c r="G1176" s="183"/>
      <c r="H1176" s="183"/>
      <c r="I1176" s="183"/>
      <c r="J1176" s="183"/>
      <c r="K1176" s="183"/>
      <c r="L1176" s="183"/>
      <c r="M1176" s="183"/>
      <c r="N1176" s="183"/>
      <c r="O1176" s="183"/>
      <c r="P1176" s="183"/>
      <c r="Q1176" s="183"/>
      <c r="R1176" s="183"/>
      <c r="S1176" s="183"/>
      <c r="T1176" s="183"/>
      <c r="U1176" s="183"/>
      <c r="V1176" s="183"/>
      <c r="W1176" s="183"/>
      <c r="X1176" s="183"/>
      <c r="Y1176" s="183"/>
      <c r="Z1176" s="183"/>
      <c r="AA1176" s="183"/>
    </row>
    <row r="1177">
      <c r="A1177" s="183"/>
      <c r="B1177" s="183"/>
      <c r="C1177" s="183"/>
      <c r="D1177" s="183"/>
      <c r="E1177" s="219"/>
      <c r="F1177" s="219"/>
      <c r="G1177" s="183"/>
      <c r="H1177" s="183"/>
      <c r="I1177" s="183"/>
      <c r="J1177" s="183"/>
      <c r="K1177" s="183"/>
      <c r="L1177" s="183"/>
      <c r="M1177" s="183"/>
      <c r="N1177" s="183"/>
      <c r="O1177" s="183"/>
      <c r="P1177" s="183"/>
      <c r="Q1177" s="183"/>
      <c r="R1177" s="183"/>
      <c r="S1177" s="183"/>
      <c r="T1177" s="183"/>
      <c r="U1177" s="183"/>
      <c r="V1177" s="183"/>
      <c r="W1177" s="183"/>
      <c r="X1177" s="183"/>
      <c r="Y1177" s="183"/>
      <c r="Z1177" s="183"/>
      <c r="AA1177" s="183"/>
    </row>
    <row r="1178">
      <c r="A1178" s="183"/>
      <c r="B1178" s="183"/>
      <c r="C1178" s="183"/>
      <c r="D1178" s="183"/>
      <c r="E1178" s="219"/>
      <c r="F1178" s="219"/>
      <c r="G1178" s="183"/>
      <c r="H1178" s="183"/>
      <c r="I1178" s="183"/>
      <c r="J1178" s="183"/>
      <c r="K1178" s="183"/>
      <c r="L1178" s="183"/>
      <c r="M1178" s="183"/>
      <c r="N1178" s="183"/>
      <c r="O1178" s="183"/>
      <c r="P1178" s="183"/>
      <c r="Q1178" s="183"/>
      <c r="R1178" s="183"/>
      <c r="S1178" s="183"/>
      <c r="T1178" s="183"/>
      <c r="U1178" s="183"/>
      <c r="V1178" s="183"/>
      <c r="W1178" s="183"/>
      <c r="X1178" s="183"/>
      <c r="Y1178" s="183"/>
      <c r="Z1178" s="183"/>
      <c r="AA1178" s="183"/>
    </row>
    <row r="1179">
      <c r="A1179" s="183"/>
      <c r="B1179" s="183"/>
      <c r="C1179" s="183"/>
      <c r="D1179" s="183"/>
      <c r="E1179" s="219"/>
      <c r="F1179" s="219"/>
      <c r="G1179" s="183"/>
      <c r="H1179" s="183"/>
      <c r="I1179" s="183"/>
      <c r="J1179" s="183"/>
      <c r="K1179" s="183"/>
      <c r="L1179" s="183"/>
      <c r="M1179" s="183"/>
      <c r="N1179" s="183"/>
      <c r="O1179" s="183"/>
      <c r="P1179" s="183"/>
      <c r="Q1179" s="183"/>
      <c r="R1179" s="183"/>
      <c r="S1179" s="183"/>
      <c r="T1179" s="183"/>
      <c r="U1179" s="183"/>
      <c r="V1179" s="183"/>
      <c r="W1179" s="183"/>
      <c r="X1179" s="183"/>
      <c r="Y1179" s="183"/>
      <c r="Z1179" s="183"/>
      <c r="AA1179" s="183"/>
    </row>
    <row r="1180">
      <c r="A1180" s="183"/>
      <c r="B1180" s="183"/>
      <c r="C1180" s="183"/>
      <c r="D1180" s="183"/>
      <c r="E1180" s="219"/>
      <c r="F1180" s="219"/>
      <c r="G1180" s="183"/>
      <c r="H1180" s="183"/>
      <c r="I1180" s="183"/>
      <c r="J1180" s="183"/>
      <c r="K1180" s="183"/>
      <c r="L1180" s="183"/>
      <c r="M1180" s="183"/>
      <c r="N1180" s="183"/>
      <c r="O1180" s="183"/>
      <c r="P1180" s="183"/>
      <c r="Q1180" s="183"/>
      <c r="R1180" s="183"/>
      <c r="S1180" s="183"/>
      <c r="T1180" s="183"/>
      <c r="U1180" s="183"/>
      <c r="V1180" s="183"/>
      <c r="W1180" s="183"/>
      <c r="X1180" s="183"/>
      <c r="Y1180" s="183"/>
      <c r="Z1180" s="183"/>
      <c r="AA1180" s="183"/>
    </row>
    <row r="1181">
      <c r="A1181" s="183"/>
      <c r="B1181" s="183"/>
      <c r="C1181" s="183"/>
      <c r="D1181" s="183"/>
      <c r="E1181" s="219"/>
      <c r="F1181" s="219"/>
      <c r="G1181" s="183"/>
      <c r="H1181" s="183"/>
      <c r="I1181" s="183"/>
      <c r="J1181" s="183"/>
      <c r="K1181" s="183"/>
      <c r="L1181" s="183"/>
      <c r="M1181" s="183"/>
      <c r="N1181" s="183"/>
      <c r="O1181" s="183"/>
      <c r="P1181" s="183"/>
      <c r="Q1181" s="183"/>
      <c r="R1181" s="183"/>
      <c r="S1181" s="183"/>
      <c r="T1181" s="183"/>
      <c r="U1181" s="183"/>
      <c r="V1181" s="183"/>
      <c r="W1181" s="183"/>
      <c r="X1181" s="183"/>
      <c r="Y1181" s="183"/>
      <c r="Z1181" s="183"/>
      <c r="AA1181" s="183"/>
    </row>
    <row r="1182">
      <c r="A1182" s="183"/>
      <c r="B1182" s="183"/>
      <c r="C1182" s="183"/>
      <c r="D1182" s="183"/>
      <c r="E1182" s="219"/>
      <c r="F1182" s="219"/>
      <c r="G1182" s="183"/>
      <c r="H1182" s="183"/>
      <c r="I1182" s="183"/>
      <c r="J1182" s="183"/>
      <c r="K1182" s="183"/>
      <c r="L1182" s="183"/>
      <c r="M1182" s="183"/>
      <c r="N1182" s="183"/>
      <c r="O1182" s="183"/>
      <c r="P1182" s="183"/>
      <c r="Q1182" s="183"/>
      <c r="R1182" s="183"/>
      <c r="S1182" s="183"/>
      <c r="T1182" s="183"/>
      <c r="U1182" s="183"/>
      <c r="V1182" s="183"/>
      <c r="W1182" s="183"/>
      <c r="X1182" s="183"/>
      <c r="Y1182" s="183"/>
      <c r="Z1182" s="183"/>
      <c r="AA1182" s="183"/>
    </row>
    <row r="1183">
      <c r="A1183" s="183"/>
      <c r="B1183" s="183"/>
      <c r="C1183" s="183"/>
      <c r="D1183" s="183"/>
      <c r="E1183" s="219"/>
      <c r="F1183" s="219"/>
      <c r="G1183" s="183"/>
      <c r="H1183" s="183"/>
      <c r="I1183" s="183"/>
      <c r="J1183" s="183"/>
      <c r="K1183" s="183"/>
      <c r="L1183" s="183"/>
      <c r="M1183" s="183"/>
      <c r="N1183" s="183"/>
      <c r="O1183" s="183"/>
      <c r="P1183" s="183"/>
      <c r="Q1183" s="183"/>
      <c r="R1183" s="183"/>
      <c r="S1183" s="183"/>
      <c r="T1183" s="183"/>
      <c r="U1183" s="183"/>
      <c r="V1183" s="183"/>
      <c r="W1183" s="183"/>
      <c r="X1183" s="183"/>
      <c r="Y1183" s="183"/>
      <c r="Z1183" s="183"/>
      <c r="AA1183" s="183"/>
    </row>
    <row r="1184">
      <c r="A1184" s="183"/>
      <c r="B1184" s="183"/>
      <c r="C1184" s="183"/>
      <c r="D1184" s="183"/>
      <c r="E1184" s="219"/>
      <c r="F1184" s="219"/>
      <c r="G1184" s="183"/>
      <c r="H1184" s="183"/>
      <c r="I1184" s="183"/>
      <c r="J1184" s="183"/>
      <c r="K1184" s="183"/>
      <c r="L1184" s="183"/>
      <c r="M1184" s="183"/>
      <c r="N1184" s="183"/>
      <c r="O1184" s="183"/>
      <c r="P1184" s="183"/>
      <c r="Q1184" s="183"/>
      <c r="R1184" s="183"/>
      <c r="S1184" s="183"/>
      <c r="T1184" s="183"/>
      <c r="U1184" s="183"/>
      <c r="V1184" s="183"/>
      <c r="W1184" s="183"/>
      <c r="X1184" s="183"/>
      <c r="Y1184" s="183"/>
      <c r="Z1184" s="183"/>
      <c r="AA1184" s="183"/>
    </row>
    <row r="1185">
      <c r="A1185" s="183"/>
      <c r="B1185" s="183"/>
      <c r="C1185" s="183"/>
      <c r="D1185" s="183"/>
      <c r="E1185" s="219"/>
      <c r="F1185" s="219"/>
      <c r="G1185" s="183"/>
      <c r="H1185" s="183"/>
      <c r="I1185" s="183"/>
      <c r="J1185" s="183"/>
      <c r="K1185" s="183"/>
      <c r="L1185" s="183"/>
      <c r="M1185" s="183"/>
      <c r="N1185" s="183"/>
      <c r="O1185" s="183"/>
      <c r="P1185" s="183"/>
      <c r="Q1185" s="183"/>
      <c r="R1185" s="183"/>
      <c r="S1185" s="183"/>
      <c r="T1185" s="183"/>
      <c r="U1185" s="183"/>
      <c r="V1185" s="183"/>
      <c r="W1185" s="183"/>
      <c r="X1185" s="183"/>
      <c r="Y1185" s="183"/>
      <c r="Z1185" s="183"/>
      <c r="AA1185" s="183"/>
    </row>
    <row r="1186">
      <c r="A1186" s="183"/>
      <c r="B1186" s="183"/>
      <c r="C1186" s="183"/>
      <c r="D1186" s="183"/>
      <c r="E1186" s="219"/>
      <c r="F1186" s="219"/>
      <c r="G1186" s="183"/>
      <c r="H1186" s="183"/>
      <c r="I1186" s="183"/>
      <c r="J1186" s="183"/>
      <c r="K1186" s="183"/>
      <c r="L1186" s="183"/>
      <c r="M1186" s="183"/>
      <c r="N1186" s="183"/>
      <c r="O1186" s="183"/>
      <c r="P1186" s="183"/>
      <c r="Q1186" s="183"/>
      <c r="R1186" s="183"/>
      <c r="S1186" s="183"/>
      <c r="T1186" s="183"/>
      <c r="U1186" s="183"/>
      <c r="V1186" s="183"/>
      <c r="W1186" s="183"/>
      <c r="X1186" s="183"/>
      <c r="Y1186" s="183"/>
      <c r="Z1186" s="183"/>
      <c r="AA1186" s="183"/>
    </row>
    <row r="1187">
      <c r="A1187" s="183"/>
      <c r="B1187" s="183"/>
      <c r="C1187" s="183"/>
      <c r="D1187" s="183"/>
      <c r="E1187" s="219"/>
      <c r="F1187" s="219"/>
      <c r="G1187" s="183"/>
      <c r="H1187" s="183"/>
      <c r="I1187" s="183"/>
      <c r="J1187" s="183"/>
      <c r="K1187" s="183"/>
      <c r="L1187" s="183"/>
      <c r="M1187" s="183"/>
      <c r="N1187" s="183"/>
      <c r="O1187" s="183"/>
      <c r="P1187" s="183"/>
      <c r="Q1187" s="183"/>
      <c r="R1187" s="183"/>
      <c r="S1187" s="183"/>
      <c r="T1187" s="183"/>
      <c r="U1187" s="183"/>
      <c r="V1187" s="183"/>
      <c r="W1187" s="183"/>
      <c r="X1187" s="183"/>
      <c r="Y1187" s="183"/>
      <c r="Z1187" s="183"/>
      <c r="AA1187" s="183"/>
    </row>
    <row r="1188">
      <c r="A1188" s="183"/>
      <c r="B1188" s="183"/>
      <c r="C1188" s="183"/>
      <c r="D1188" s="183"/>
      <c r="E1188" s="219"/>
      <c r="F1188" s="219"/>
      <c r="G1188" s="183"/>
      <c r="H1188" s="183"/>
      <c r="I1188" s="183"/>
      <c r="J1188" s="183"/>
      <c r="K1188" s="183"/>
      <c r="L1188" s="183"/>
      <c r="M1188" s="183"/>
      <c r="N1188" s="183"/>
      <c r="O1188" s="183"/>
      <c r="P1188" s="183"/>
      <c r="Q1188" s="183"/>
      <c r="R1188" s="183"/>
      <c r="S1188" s="183"/>
      <c r="T1188" s="183"/>
      <c r="U1188" s="183"/>
      <c r="V1188" s="183"/>
      <c r="W1188" s="183"/>
      <c r="X1188" s="183"/>
      <c r="Y1188" s="183"/>
      <c r="Z1188" s="183"/>
      <c r="AA1188" s="183"/>
    </row>
    <row r="1189">
      <c r="A1189" s="183"/>
      <c r="B1189" s="183"/>
      <c r="C1189" s="183"/>
      <c r="D1189" s="183"/>
      <c r="E1189" s="219"/>
      <c r="F1189" s="219"/>
      <c r="G1189" s="183"/>
      <c r="H1189" s="183"/>
      <c r="I1189" s="183"/>
      <c r="J1189" s="183"/>
      <c r="K1189" s="183"/>
      <c r="L1189" s="183"/>
      <c r="M1189" s="183"/>
      <c r="N1189" s="183"/>
      <c r="O1189" s="183"/>
      <c r="P1189" s="183"/>
      <c r="Q1189" s="183"/>
      <c r="R1189" s="183"/>
      <c r="S1189" s="183"/>
      <c r="T1189" s="183"/>
      <c r="U1189" s="183"/>
      <c r="V1189" s="183"/>
      <c r="W1189" s="183"/>
      <c r="X1189" s="183"/>
      <c r="Y1189" s="183"/>
      <c r="Z1189" s="183"/>
      <c r="AA1189" s="183"/>
    </row>
    <row r="1190">
      <c r="A1190" s="183"/>
      <c r="B1190" s="183"/>
      <c r="C1190" s="183"/>
      <c r="D1190" s="183"/>
      <c r="E1190" s="219"/>
      <c r="F1190" s="219"/>
      <c r="G1190" s="183"/>
      <c r="H1190" s="183"/>
      <c r="I1190" s="183"/>
      <c r="J1190" s="183"/>
      <c r="K1190" s="183"/>
      <c r="L1190" s="183"/>
      <c r="M1190" s="183"/>
      <c r="N1190" s="183"/>
      <c r="O1190" s="183"/>
      <c r="P1190" s="183"/>
      <c r="Q1190" s="183"/>
      <c r="R1190" s="183"/>
      <c r="S1190" s="183"/>
      <c r="T1190" s="183"/>
      <c r="U1190" s="183"/>
      <c r="V1190" s="183"/>
      <c r="W1190" s="183"/>
      <c r="X1190" s="183"/>
      <c r="Y1190" s="183"/>
      <c r="Z1190" s="183"/>
      <c r="AA1190" s="183"/>
    </row>
    <row r="1191">
      <c r="A1191" s="183"/>
      <c r="B1191" s="183"/>
      <c r="C1191" s="183"/>
      <c r="D1191" s="183"/>
      <c r="E1191" s="219"/>
      <c r="F1191" s="219"/>
      <c r="G1191" s="183"/>
      <c r="H1191" s="183"/>
      <c r="I1191" s="183"/>
      <c r="J1191" s="183"/>
      <c r="K1191" s="183"/>
      <c r="L1191" s="183"/>
      <c r="M1191" s="183"/>
      <c r="N1191" s="183"/>
      <c r="O1191" s="183"/>
      <c r="P1191" s="183"/>
      <c r="Q1191" s="183"/>
      <c r="R1191" s="183"/>
      <c r="S1191" s="183"/>
      <c r="T1191" s="183"/>
      <c r="U1191" s="183"/>
      <c r="V1191" s="183"/>
      <c r="W1191" s="183"/>
      <c r="X1191" s="183"/>
      <c r="Y1191" s="183"/>
      <c r="Z1191" s="183"/>
      <c r="AA1191" s="183"/>
    </row>
    <row r="1192">
      <c r="A1192" s="183"/>
      <c r="B1192" s="183"/>
      <c r="C1192" s="183"/>
      <c r="D1192" s="183"/>
      <c r="E1192" s="219"/>
      <c r="F1192" s="219"/>
      <c r="G1192" s="183"/>
      <c r="H1192" s="183"/>
      <c r="I1192" s="183"/>
      <c r="J1192" s="183"/>
      <c r="K1192" s="183"/>
      <c r="L1192" s="183"/>
      <c r="M1192" s="183"/>
      <c r="N1192" s="183"/>
      <c r="O1192" s="183"/>
      <c r="P1192" s="183"/>
      <c r="Q1192" s="183"/>
      <c r="R1192" s="183"/>
      <c r="S1192" s="183"/>
      <c r="T1192" s="183"/>
      <c r="U1192" s="183"/>
      <c r="V1192" s="183"/>
      <c r="W1192" s="183"/>
      <c r="X1192" s="183"/>
      <c r="Y1192" s="183"/>
      <c r="Z1192" s="183"/>
      <c r="AA1192" s="183"/>
    </row>
    <row r="1193">
      <c r="A1193" s="183"/>
      <c r="B1193" s="183"/>
      <c r="C1193" s="183"/>
      <c r="D1193" s="183"/>
      <c r="E1193" s="219"/>
      <c r="F1193" s="219"/>
      <c r="G1193" s="183"/>
      <c r="H1193" s="183"/>
      <c r="I1193" s="183"/>
      <c r="J1193" s="183"/>
      <c r="K1193" s="183"/>
      <c r="L1193" s="183"/>
      <c r="M1193" s="183"/>
      <c r="N1193" s="183"/>
      <c r="O1193" s="183"/>
      <c r="P1193" s="183"/>
      <c r="Q1193" s="183"/>
      <c r="R1193" s="183"/>
      <c r="S1193" s="183"/>
      <c r="T1193" s="183"/>
      <c r="U1193" s="183"/>
      <c r="V1193" s="183"/>
      <c r="W1193" s="183"/>
      <c r="X1193" s="183"/>
      <c r="Y1193" s="183"/>
      <c r="Z1193" s="183"/>
      <c r="AA1193" s="183"/>
    </row>
    <row r="1194">
      <c r="A1194" s="183"/>
      <c r="B1194" s="183"/>
      <c r="C1194" s="183"/>
      <c r="D1194" s="183"/>
      <c r="E1194" s="219"/>
      <c r="F1194" s="219"/>
      <c r="G1194" s="183"/>
      <c r="H1194" s="183"/>
      <c r="I1194" s="183"/>
      <c r="J1194" s="183"/>
      <c r="K1194" s="183"/>
      <c r="L1194" s="183"/>
      <c r="M1194" s="183"/>
      <c r="N1194" s="183"/>
      <c r="O1194" s="183"/>
      <c r="P1194" s="183"/>
      <c r="Q1194" s="183"/>
      <c r="R1194" s="183"/>
      <c r="S1194" s="183"/>
      <c r="T1194" s="183"/>
      <c r="U1194" s="183"/>
      <c r="V1194" s="183"/>
      <c r="W1194" s="183"/>
      <c r="X1194" s="183"/>
      <c r="Y1194" s="183"/>
      <c r="Z1194" s="183"/>
      <c r="AA1194" s="183"/>
    </row>
    <row r="1195">
      <c r="A1195" s="183"/>
      <c r="B1195" s="183"/>
      <c r="C1195" s="183"/>
      <c r="D1195" s="183"/>
      <c r="E1195" s="219"/>
      <c r="F1195" s="219"/>
      <c r="G1195" s="183"/>
      <c r="H1195" s="183"/>
      <c r="I1195" s="183"/>
      <c r="J1195" s="183"/>
      <c r="K1195" s="183"/>
      <c r="L1195" s="183"/>
      <c r="M1195" s="183"/>
      <c r="N1195" s="183"/>
      <c r="O1195" s="183"/>
      <c r="P1195" s="183"/>
      <c r="Q1195" s="183"/>
      <c r="R1195" s="183"/>
      <c r="S1195" s="183"/>
      <c r="T1195" s="183"/>
      <c r="U1195" s="183"/>
      <c r="V1195" s="183"/>
      <c r="W1195" s="183"/>
      <c r="X1195" s="183"/>
      <c r="Y1195" s="183"/>
      <c r="Z1195" s="183"/>
      <c r="AA1195" s="183"/>
    </row>
    <row r="1196">
      <c r="A1196" s="183"/>
      <c r="B1196" s="183"/>
      <c r="C1196" s="183"/>
      <c r="D1196" s="183"/>
      <c r="E1196" s="219"/>
      <c r="F1196" s="219"/>
      <c r="G1196" s="183"/>
      <c r="H1196" s="183"/>
      <c r="I1196" s="183"/>
      <c r="J1196" s="183"/>
      <c r="K1196" s="183"/>
      <c r="L1196" s="183"/>
      <c r="M1196" s="183"/>
      <c r="N1196" s="183"/>
      <c r="O1196" s="183"/>
      <c r="P1196" s="183"/>
      <c r="Q1196" s="183"/>
      <c r="R1196" s="183"/>
      <c r="S1196" s="183"/>
      <c r="T1196" s="183"/>
      <c r="U1196" s="183"/>
      <c r="V1196" s="183"/>
      <c r="W1196" s="183"/>
      <c r="X1196" s="183"/>
      <c r="Y1196" s="183"/>
      <c r="Z1196" s="183"/>
      <c r="AA1196" s="183"/>
    </row>
    <row r="1197">
      <c r="A1197" s="183"/>
      <c r="B1197" s="183"/>
      <c r="C1197" s="183"/>
      <c r="D1197" s="183"/>
      <c r="E1197" s="219"/>
      <c r="F1197" s="219"/>
      <c r="G1197" s="183"/>
      <c r="H1197" s="183"/>
      <c r="I1197" s="183"/>
      <c r="J1197" s="183"/>
      <c r="K1197" s="183"/>
      <c r="L1197" s="183"/>
      <c r="M1197" s="183"/>
      <c r="N1197" s="183"/>
      <c r="O1197" s="183"/>
      <c r="P1197" s="183"/>
      <c r="Q1197" s="183"/>
      <c r="R1197" s="183"/>
      <c r="S1197" s="183"/>
      <c r="T1197" s="183"/>
      <c r="U1197" s="183"/>
      <c r="V1197" s="183"/>
      <c r="W1197" s="183"/>
      <c r="X1197" s="183"/>
      <c r="Y1197" s="183"/>
      <c r="Z1197" s="183"/>
      <c r="AA1197" s="183"/>
    </row>
    <row r="1198">
      <c r="A1198" s="183"/>
      <c r="B1198" s="183"/>
      <c r="C1198" s="183"/>
      <c r="D1198" s="183"/>
      <c r="E1198" s="219"/>
      <c r="F1198" s="219"/>
      <c r="G1198" s="183"/>
      <c r="H1198" s="183"/>
      <c r="I1198" s="183"/>
      <c r="J1198" s="183"/>
      <c r="K1198" s="183"/>
      <c r="L1198" s="183"/>
      <c r="M1198" s="183"/>
      <c r="N1198" s="183"/>
      <c r="O1198" s="183"/>
      <c r="P1198" s="183"/>
      <c r="Q1198" s="183"/>
      <c r="R1198" s="183"/>
      <c r="S1198" s="183"/>
      <c r="T1198" s="183"/>
      <c r="U1198" s="183"/>
      <c r="V1198" s="183"/>
      <c r="W1198" s="183"/>
      <c r="X1198" s="183"/>
      <c r="Y1198" s="183"/>
      <c r="Z1198" s="183"/>
      <c r="AA1198" s="183"/>
    </row>
    <row r="1199">
      <c r="A1199" s="183"/>
      <c r="B1199" s="183"/>
      <c r="C1199" s="183"/>
      <c r="D1199" s="183"/>
      <c r="E1199" s="219"/>
      <c r="F1199" s="219"/>
      <c r="G1199" s="183"/>
      <c r="H1199" s="183"/>
      <c r="I1199" s="183"/>
      <c r="J1199" s="183"/>
      <c r="K1199" s="183"/>
      <c r="L1199" s="183"/>
      <c r="M1199" s="183"/>
      <c r="N1199" s="183"/>
      <c r="O1199" s="183"/>
      <c r="P1199" s="183"/>
      <c r="Q1199" s="183"/>
      <c r="R1199" s="183"/>
      <c r="S1199" s="183"/>
      <c r="T1199" s="183"/>
      <c r="U1199" s="183"/>
      <c r="V1199" s="183"/>
      <c r="W1199" s="183"/>
      <c r="X1199" s="183"/>
      <c r="Y1199" s="183"/>
      <c r="Z1199" s="183"/>
      <c r="AA1199" s="183"/>
    </row>
    <row r="1200">
      <c r="A1200" s="183"/>
      <c r="B1200" s="183"/>
      <c r="C1200" s="183"/>
      <c r="D1200" s="183"/>
      <c r="E1200" s="219"/>
      <c r="F1200" s="219"/>
      <c r="G1200" s="183"/>
      <c r="H1200" s="183"/>
      <c r="I1200" s="183"/>
      <c r="J1200" s="183"/>
      <c r="K1200" s="183"/>
      <c r="L1200" s="183"/>
      <c r="M1200" s="183"/>
      <c r="N1200" s="183"/>
      <c r="O1200" s="183"/>
      <c r="P1200" s="183"/>
      <c r="Q1200" s="183"/>
      <c r="R1200" s="183"/>
      <c r="S1200" s="183"/>
      <c r="T1200" s="183"/>
      <c r="U1200" s="183"/>
      <c r="V1200" s="183"/>
      <c r="W1200" s="183"/>
      <c r="X1200" s="183"/>
      <c r="Y1200" s="183"/>
      <c r="Z1200" s="183"/>
      <c r="AA1200" s="183"/>
    </row>
    <row r="1201">
      <c r="A1201" s="183"/>
      <c r="B1201" s="183"/>
      <c r="C1201" s="183"/>
      <c r="D1201" s="183"/>
      <c r="E1201" s="219"/>
      <c r="F1201" s="219"/>
      <c r="G1201" s="183"/>
      <c r="H1201" s="183"/>
      <c r="I1201" s="183"/>
      <c r="J1201" s="183"/>
      <c r="K1201" s="183"/>
      <c r="L1201" s="183"/>
      <c r="M1201" s="183"/>
      <c r="N1201" s="183"/>
      <c r="O1201" s="183"/>
      <c r="P1201" s="183"/>
      <c r="Q1201" s="183"/>
      <c r="R1201" s="183"/>
      <c r="S1201" s="183"/>
      <c r="T1201" s="183"/>
      <c r="U1201" s="183"/>
      <c r="V1201" s="183"/>
      <c r="W1201" s="183"/>
      <c r="X1201" s="183"/>
      <c r="Y1201" s="183"/>
      <c r="Z1201" s="183"/>
      <c r="AA1201" s="183"/>
    </row>
    <row r="1202">
      <c r="A1202" s="183"/>
      <c r="B1202" s="183"/>
      <c r="C1202" s="183"/>
      <c r="D1202" s="183"/>
      <c r="E1202" s="219"/>
      <c r="F1202" s="219"/>
      <c r="G1202" s="183"/>
      <c r="H1202" s="183"/>
      <c r="I1202" s="183"/>
      <c r="J1202" s="183"/>
      <c r="K1202" s="183"/>
      <c r="L1202" s="183"/>
      <c r="M1202" s="183"/>
      <c r="N1202" s="183"/>
      <c r="O1202" s="183"/>
      <c r="P1202" s="183"/>
      <c r="Q1202" s="183"/>
      <c r="R1202" s="183"/>
      <c r="S1202" s="183"/>
      <c r="T1202" s="183"/>
      <c r="U1202" s="183"/>
      <c r="V1202" s="183"/>
      <c r="W1202" s="183"/>
      <c r="X1202" s="183"/>
      <c r="Y1202" s="183"/>
      <c r="Z1202" s="183"/>
      <c r="AA1202" s="183"/>
    </row>
    <row r="1203">
      <c r="A1203" s="183"/>
      <c r="B1203" s="183"/>
      <c r="C1203" s="183"/>
      <c r="D1203" s="183"/>
      <c r="E1203" s="219"/>
      <c r="F1203" s="219"/>
      <c r="G1203" s="183"/>
      <c r="H1203" s="183"/>
      <c r="I1203" s="183"/>
      <c r="J1203" s="183"/>
      <c r="K1203" s="183"/>
      <c r="L1203" s="183"/>
      <c r="M1203" s="183"/>
      <c r="N1203" s="183"/>
      <c r="O1203" s="183"/>
      <c r="P1203" s="183"/>
      <c r="Q1203" s="183"/>
      <c r="R1203" s="183"/>
      <c r="S1203" s="183"/>
      <c r="T1203" s="183"/>
      <c r="U1203" s="183"/>
      <c r="V1203" s="183"/>
      <c r="W1203" s="183"/>
      <c r="X1203" s="183"/>
      <c r="Y1203" s="183"/>
      <c r="Z1203" s="183"/>
      <c r="AA1203" s="183"/>
    </row>
    <row r="1204">
      <c r="A1204" s="183"/>
      <c r="B1204" s="183"/>
      <c r="C1204" s="183"/>
      <c r="D1204" s="183"/>
      <c r="E1204" s="219"/>
      <c r="F1204" s="219"/>
      <c r="G1204" s="183"/>
      <c r="H1204" s="183"/>
      <c r="I1204" s="183"/>
      <c r="J1204" s="183"/>
      <c r="K1204" s="183"/>
      <c r="L1204" s="183"/>
      <c r="M1204" s="183"/>
      <c r="N1204" s="183"/>
      <c r="O1204" s="183"/>
      <c r="P1204" s="183"/>
      <c r="Q1204" s="183"/>
      <c r="R1204" s="183"/>
      <c r="S1204" s="183"/>
      <c r="T1204" s="183"/>
      <c r="U1204" s="183"/>
      <c r="V1204" s="183"/>
      <c r="W1204" s="183"/>
      <c r="X1204" s="183"/>
      <c r="Y1204" s="183"/>
      <c r="Z1204" s="183"/>
      <c r="AA1204" s="183"/>
    </row>
    <row r="1205">
      <c r="A1205" s="183"/>
      <c r="B1205" s="183"/>
      <c r="C1205" s="183"/>
      <c r="D1205" s="183"/>
      <c r="E1205" s="219"/>
      <c r="F1205" s="219"/>
      <c r="G1205" s="183"/>
      <c r="H1205" s="183"/>
      <c r="I1205" s="183"/>
      <c r="J1205" s="183"/>
      <c r="K1205" s="183"/>
      <c r="L1205" s="183"/>
      <c r="M1205" s="183"/>
      <c r="N1205" s="183"/>
      <c r="O1205" s="183"/>
      <c r="P1205" s="183"/>
      <c r="Q1205" s="183"/>
      <c r="R1205" s="183"/>
      <c r="S1205" s="183"/>
      <c r="T1205" s="183"/>
      <c r="U1205" s="183"/>
      <c r="V1205" s="183"/>
      <c r="W1205" s="183"/>
      <c r="X1205" s="183"/>
      <c r="Y1205" s="183"/>
      <c r="Z1205" s="183"/>
      <c r="AA1205" s="183"/>
    </row>
    <row r="1206">
      <c r="A1206" s="183"/>
      <c r="B1206" s="183"/>
      <c r="C1206" s="183"/>
      <c r="D1206" s="183"/>
      <c r="E1206" s="219"/>
      <c r="F1206" s="219"/>
      <c r="G1206" s="183"/>
      <c r="H1206" s="183"/>
      <c r="I1206" s="183"/>
      <c r="J1206" s="183"/>
      <c r="K1206" s="183"/>
      <c r="L1206" s="183"/>
      <c r="M1206" s="183"/>
      <c r="N1206" s="183"/>
      <c r="O1206" s="183"/>
      <c r="P1206" s="183"/>
      <c r="Q1206" s="183"/>
      <c r="R1206" s="183"/>
      <c r="S1206" s="183"/>
      <c r="T1206" s="183"/>
      <c r="U1206" s="183"/>
      <c r="V1206" s="183"/>
      <c r="W1206" s="183"/>
      <c r="X1206" s="183"/>
      <c r="Y1206" s="183"/>
      <c r="Z1206" s="183"/>
      <c r="AA1206" s="183"/>
    </row>
    <row r="1207">
      <c r="A1207" s="183"/>
      <c r="B1207" s="183"/>
      <c r="C1207" s="183"/>
      <c r="D1207" s="183"/>
      <c r="E1207" s="219"/>
      <c r="F1207" s="219"/>
      <c r="G1207" s="183"/>
      <c r="H1207" s="183"/>
      <c r="I1207" s="183"/>
      <c r="J1207" s="183"/>
      <c r="K1207" s="183"/>
      <c r="L1207" s="183"/>
      <c r="M1207" s="183"/>
      <c r="N1207" s="183"/>
      <c r="O1207" s="183"/>
      <c r="P1207" s="183"/>
      <c r="Q1207" s="183"/>
      <c r="R1207" s="183"/>
      <c r="S1207" s="183"/>
      <c r="T1207" s="183"/>
      <c r="U1207" s="183"/>
      <c r="V1207" s="183"/>
      <c r="W1207" s="183"/>
      <c r="X1207" s="183"/>
      <c r="Y1207" s="183"/>
      <c r="Z1207" s="183"/>
      <c r="AA1207" s="183"/>
    </row>
    <row r="1208">
      <c r="A1208" s="183"/>
      <c r="B1208" s="183"/>
      <c r="C1208" s="183"/>
      <c r="D1208" s="183"/>
      <c r="E1208" s="219"/>
      <c r="F1208" s="219"/>
      <c r="G1208" s="183"/>
      <c r="H1208" s="183"/>
      <c r="I1208" s="183"/>
      <c r="J1208" s="183"/>
      <c r="K1208" s="183"/>
      <c r="L1208" s="183"/>
      <c r="M1208" s="183"/>
      <c r="N1208" s="183"/>
      <c r="O1208" s="183"/>
      <c r="P1208" s="183"/>
      <c r="Q1208" s="183"/>
      <c r="R1208" s="183"/>
      <c r="S1208" s="183"/>
      <c r="T1208" s="183"/>
      <c r="U1208" s="183"/>
      <c r="V1208" s="183"/>
      <c r="W1208" s="183"/>
      <c r="X1208" s="183"/>
      <c r="Y1208" s="183"/>
      <c r="Z1208" s="183"/>
      <c r="AA1208" s="183"/>
    </row>
    <row r="1209">
      <c r="A1209" s="183"/>
      <c r="B1209" s="183"/>
      <c r="C1209" s="183"/>
      <c r="D1209" s="183"/>
      <c r="E1209" s="219"/>
      <c r="F1209" s="219"/>
      <c r="G1209" s="183"/>
      <c r="H1209" s="183"/>
      <c r="I1209" s="183"/>
      <c r="J1209" s="183"/>
      <c r="K1209" s="183"/>
      <c r="L1209" s="183"/>
      <c r="M1209" s="183"/>
      <c r="N1209" s="183"/>
      <c r="O1209" s="183"/>
      <c r="P1209" s="183"/>
      <c r="Q1209" s="183"/>
      <c r="R1209" s="183"/>
      <c r="S1209" s="183"/>
      <c r="T1209" s="183"/>
      <c r="U1209" s="183"/>
      <c r="V1209" s="183"/>
      <c r="W1209" s="183"/>
      <c r="X1209" s="183"/>
      <c r="Y1209" s="183"/>
      <c r="Z1209" s="183"/>
      <c r="AA1209" s="183"/>
    </row>
    <row r="1210">
      <c r="A1210" s="183"/>
      <c r="B1210" s="183"/>
      <c r="C1210" s="183"/>
      <c r="D1210" s="183"/>
      <c r="E1210" s="219"/>
      <c r="F1210" s="219"/>
      <c r="G1210" s="183"/>
      <c r="H1210" s="183"/>
      <c r="I1210" s="183"/>
      <c r="J1210" s="183"/>
      <c r="K1210" s="183"/>
      <c r="L1210" s="183"/>
      <c r="M1210" s="183"/>
      <c r="N1210" s="183"/>
      <c r="O1210" s="183"/>
      <c r="P1210" s="183"/>
      <c r="Q1210" s="183"/>
      <c r="R1210" s="183"/>
      <c r="S1210" s="183"/>
      <c r="T1210" s="183"/>
      <c r="U1210" s="183"/>
      <c r="V1210" s="183"/>
      <c r="W1210" s="183"/>
      <c r="X1210" s="183"/>
      <c r="Y1210" s="183"/>
      <c r="Z1210" s="183"/>
      <c r="AA1210" s="183"/>
    </row>
    <row r="1211">
      <c r="A1211" s="183"/>
      <c r="B1211" s="183"/>
      <c r="C1211" s="183"/>
      <c r="D1211" s="183"/>
      <c r="E1211" s="219"/>
      <c r="F1211" s="219"/>
      <c r="G1211" s="183"/>
      <c r="H1211" s="183"/>
      <c r="I1211" s="183"/>
      <c r="J1211" s="183"/>
      <c r="K1211" s="183"/>
      <c r="L1211" s="183"/>
      <c r="M1211" s="183"/>
      <c r="N1211" s="183"/>
      <c r="O1211" s="183"/>
      <c r="P1211" s="183"/>
      <c r="Q1211" s="183"/>
      <c r="R1211" s="183"/>
      <c r="S1211" s="183"/>
      <c r="T1211" s="183"/>
      <c r="U1211" s="183"/>
      <c r="V1211" s="183"/>
      <c r="W1211" s="183"/>
      <c r="X1211" s="183"/>
      <c r="Y1211" s="183"/>
      <c r="Z1211" s="183"/>
      <c r="AA1211" s="183"/>
    </row>
    <row r="1212">
      <c r="A1212" s="183"/>
      <c r="B1212" s="183"/>
      <c r="C1212" s="183"/>
      <c r="D1212" s="183"/>
      <c r="E1212" s="219"/>
      <c r="F1212" s="219"/>
      <c r="G1212" s="183"/>
      <c r="H1212" s="183"/>
      <c r="I1212" s="183"/>
      <c r="J1212" s="183"/>
      <c r="K1212" s="183"/>
      <c r="L1212" s="183"/>
      <c r="M1212" s="183"/>
      <c r="N1212" s="183"/>
      <c r="O1212" s="183"/>
      <c r="P1212" s="183"/>
      <c r="Q1212" s="183"/>
      <c r="R1212" s="183"/>
      <c r="S1212" s="183"/>
      <c r="T1212" s="183"/>
      <c r="U1212" s="183"/>
      <c r="V1212" s="183"/>
      <c r="W1212" s="183"/>
      <c r="X1212" s="183"/>
      <c r="Y1212" s="183"/>
      <c r="Z1212" s="183"/>
      <c r="AA1212" s="183"/>
    </row>
    <row r="1213">
      <c r="A1213" s="183"/>
      <c r="B1213" s="183"/>
      <c r="C1213" s="183"/>
      <c r="D1213" s="183"/>
      <c r="E1213" s="219"/>
      <c r="F1213" s="219"/>
      <c r="G1213" s="183"/>
      <c r="H1213" s="183"/>
      <c r="I1213" s="183"/>
      <c r="J1213" s="183"/>
      <c r="K1213" s="183"/>
      <c r="L1213" s="183"/>
      <c r="M1213" s="183"/>
      <c r="N1213" s="183"/>
      <c r="O1213" s="183"/>
      <c r="P1213" s="183"/>
      <c r="Q1213" s="183"/>
      <c r="R1213" s="183"/>
      <c r="S1213" s="183"/>
      <c r="T1213" s="183"/>
      <c r="U1213" s="183"/>
      <c r="V1213" s="183"/>
      <c r="W1213" s="183"/>
      <c r="X1213" s="183"/>
      <c r="Y1213" s="183"/>
      <c r="Z1213" s="183"/>
      <c r="AA1213" s="183"/>
    </row>
    <row r="1214">
      <c r="A1214" s="183"/>
      <c r="B1214" s="183"/>
      <c r="C1214" s="183"/>
      <c r="D1214" s="183"/>
      <c r="E1214" s="219"/>
      <c r="F1214" s="219"/>
      <c r="G1214" s="183"/>
      <c r="H1214" s="183"/>
      <c r="I1214" s="183"/>
      <c r="J1214" s="183"/>
      <c r="K1214" s="183"/>
      <c r="L1214" s="183"/>
      <c r="M1214" s="183"/>
      <c r="N1214" s="183"/>
      <c r="O1214" s="183"/>
      <c r="P1214" s="183"/>
      <c r="Q1214" s="183"/>
      <c r="R1214" s="183"/>
      <c r="S1214" s="183"/>
      <c r="T1214" s="183"/>
      <c r="U1214" s="183"/>
      <c r="V1214" s="183"/>
      <c r="W1214" s="183"/>
      <c r="X1214" s="183"/>
      <c r="Y1214" s="183"/>
      <c r="Z1214" s="183"/>
      <c r="AA1214" s="183"/>
    </row>
    <row r="1215">
      <c r="A1215" s="183"/>
      <c r="B1215" s="183"/>
      <c r="C1215" s="183"/>
      <c r="D1215" s="183"/>
      <c r="E1215" s="219"/>
      <c r="F1215" s="219"/>
      <c r="G1215" s="183"/>
      <c r="H1215" s="183"/>
      <c r="I1215" s="183"/>
      <c r="J1215" s="183"/>
      <c r="K1215" s="183"/>
      <c r="L1215" s="183"/>
      <c r="M1215" s="183"/>
      <c r="N1215" s="183"/>
      <c r="O1215" s="183"/>
      <c r="P1215" s="183"/>
      <c r="Q1215" s="183"/>
      <c r="R1215" s="183"/>
      <c r="S1215" s="183"/>
      <c r="T1215" s="183"/>
      <c r="U1215" s="183"/>
      <c r="V1215" s="183"/>
      <c r="W1215" s="183"/>
      <c r="X1215" s="183"/>
      <c r="Y1215" s="183"/>
      <c r="Z1215" s="183"/>
      <c r="AA1215" s="183"/>
    </row>
    <row r="1216">
      <c r="A1216" s="183"/>
      <c r="B1216" s="183"/>
      <c r="C1216" s="183"/>
      <c r="D1216" s="183"/>
      <c r="E1216" s="219"/>
      <c r="F1216" s="219"/>
      <c r="G1216" s="183"/>
      <c r="H1216" s="183"/>
      <c r="I1216" s="183"/>
      <c r="J1216" s="183"/>
      <c r="K1216" s="183"/>
      <c r="L1216" s="183"/>
      <c r="M1216" s="183"/>
      <c r="N1216" s="183"/>
      <c r="O1216" s="183"/>
      <c r="P1216" s="183"/>
      <c r="Q1216" s="183"/>
      <c r="R1216" s="183"/>
      <c r="S1216" s="183"/>
      <c r="T1216" s="183"/>
      <c r="U1216" s="183"/>
      <c r="V1216" s="183"/>
      <c r="W1216" s="183"/>
      <c r="X1216" s="183"/>
      <c r="Y1216" s="183"/>
      <c r="Z1216" s="183"/>
      <c r="AA1216" s="183"/>
    </row>
    <row r="1217">
      <c r="A1217" s="183"/>
      <c r="B1217" s="183"/>
      <c r="C1217" s="183"/>
      <c r="D1217" s="183"/>
      <c r="E1217" s="219"/>
      <c r="F1217" s="219"/>
      <c r="G1217" s="183"/>
      <c r="H1217" s="183"/>
      <c r="I1217" s="183"/>
      <c r="J1217" s="183"/>
      <c r="K1217" s="183"/>
      <c r="L1217" s="183"/>
      <c r="M1217" s="183"/>
      <c r="N1217" s="183"/>
      <c r="O1217" s="183"/>
      <c r="P1217" s="183"/>
      <c r="Q1217" s="183"/>
      <c r="R1217" s="183"/>
      <c r="S1217" s="183"/>
      <c r="T1217" s="183"/>
      <c r="U1217" s="183"/>
      <c r="V1217" s="183"/>
      <c r="W1217" s="183"/>
      <c r="X1217" s="183"/>
      <c r="Y1217" s="183"/>
      <c r="Z1217" s="183"/>
      <c r="AA1217" s="183"/>
    </row>
    <row r="1218">
      <c r="A1218" s="183"/>
      <c r="B1218" s="183"/>
      <c r="C1218" s="183"/>
      <c r="D1218" s="183"/>
      <c r="E1218" s="219"/>
      <c r="F1218" s="219"/>
      <c r="G1218" s="183"/>
      <c r="H1218" s="183"/>
      <c r="I1218" s="183"/>
      <c r="J1218" s="183"/>
      <c r="K1218" s="183"/>
      <c r="L1218" s="183"/>
      <c r="M1218" s="183"/>
      <c r="N1218" s="183"/>
      <c r="O1218" s="183"/>
      <c r="P1218" s="183"/>
      <c r="Q1218" s="183"/>
      <c r="R1218" s="183"/>
      <c r="S1218" s="183"/>
      <c r="T1218" s="183"/>
      <c r="U1218" s="183"/>
      <c r="V1218" s="183"/>
      <c r="W1218" s="183"/>
      <c r="X1218" s="183"/>
      <c r="Y1218" s="183"/>
      <c r="Z1218" s="183"/>
      <c r="AA1218" s="183"/>
    </row>
    <row r="1219">
      <c r="A1219" s="183"/>
      <c r="B1219" s="183"/>
      <c r="C1219" s="183"/>
      <c r="D1219" s="183"/>
      <c r="E1219" s="219"/>
      <c r="F1219" s="219"/>
      <c r="G1219" s="183"/>
      <c r="H1219" s="183"/>
      <c r="I1219" s="183"/>
      <c r="J1219" s="183"/>
      <c r="K1219" s="183"/>
      <c r="L1219" s="183"/>
      <c r="M1219" s="183"/>
      <c r="N1219" s="183"/>
      <c r="O1219" s="183"/>
      <c r="P1219" s="183"/>
      <c r="Q1219" s="183"/>
      <c r="R1219" s="183"/>
      <c r="S1219" s="183"/>
      <c r="T1219" s="183"/>
      <c r="U1219" s="183"/>
      <c r="V1219" s="183"/>
      <c r="W1219" s="183"/>
      <c r="X1219" s="183"/>
      <c r="Y1219" s="183"/>
      <c r="Z1219" s="183"/>
      <c r="AA1219" s="183"/>
    </row>
    <row r="1220">
      <c r="A1220" s="183"/>
      <c r="B1220" s="183"/>
      <c r="C1220" s="183"/>
      <c r="D1220" s="183"/>
      <c r="E1220" s="219"/>
      <c r="F1220" s="219"/>
      <c r="G1220" s="183"/>
      <c r="H1220" s="183"/>
      <c r="I1220" s="183"/>
      <c r="J1220" s="183"/>
      <c r="K1220" s="183"/>
      <c r="L1220" s="183"/>
      <c r="M1220" s="183"/>
      <c r="N1220" s="183"/>
      <c r="O1220" s="183"/>
      <c r="P1220" s="183"/>
      <c r="Q1220" s="183"/>
      <c r="R1220" s="183"/>
      <c r="S1220" s="183"/>
      <c r="T1220" s="183"/>
      <c r="U1220" s="183"/>
      <c r="V1220" s="183"/>
      <c r="W1220" s="183"/>
      <c r="X1220" s="183"/>
      <c r="Y1220" s="183"/>
      <c r="Z1220" s="183"/>
      <c r="AA1220" s="183"/>
    </row>
    <row r="1221">
      <c r="A1221" s="183"/>
      <c r="B1221" s="183"/>
      <c r="C1221" s="183"/>
      <c r="D1221" s="183"/>
      <c r="E1221" s="219"/>
      <c r="F1221" s="219"/>
      <c r="G1221" s="183"/>
      <c r="H1221" s="183"/>
      <c r="I1221" s="183"/>
      <c r="J1221" s="183"/>
      <c r="K1221" s="183"/>
      <c r="L1221" s="183"/>
      <c r="M1221" s="183"/>
      <c r="N1221" s="183"/>
      <c r="O1221" s="183"/>
      <c r="P1221" s="183"/>
      <c r="Q1221" s="183"/>
      <c r="R1221" s="183"/>
      <c r="S1221" s="183"/>
      <c r="T1221" s="183"/>
      <c r="U1221" s="183"/>
      <c r="V1221" s="183"/>
      <c r="W1221" s="183"/>
      <c r="X1221" s="183"/>
      <c r="Y1221" s="183"/>
      <c r="Z1221" s="183"/>
      <c r="AA1221" s="183"/>
    </row>
    <row r="1222">
      <c r="A1222" s="183"/>
      <c r="B1222" s="183"/>
      <c r="C1222" s="183"/>
      <c r="D1222" s="183"/>
      <c r="E1222" s="219"/>
      <c r="F1222" s="219"/>
      <c r="G1222" s="183"/>
      <c r="H1222" s="183"/>
      <c r="I1222" s="183"/>
      <c r="J1222" s="183"/>
      <c r="K1222" s="183"/>
      <c r="L1222" s="183"/>
      <c r="M1222" s="183"/>
      <c r="N1222" s="183"/>
      <c r="O1222" s="183"/>
      <c r="P1222" s="183"/>
      <c r="Q1222" s="183"/>
      <c r="R1222" s="183"/>
      <c r="S1222" s="183"/>
      <c r="T1222" s="183"/>
      <c r="U1222" s="183"/>
      <c r="V1222" s="183"/>
      <c r="W1222" s="183"/>
      <c r="X1222" s="183"/>
      <c r="Y1222" s="183"/>
      <c r="Z1222" s="183"/>
      <c r="AA1222" s="183"/>
    </row>
    <row r="1223">
      <c r="A1223" s="183"/>
      <c r="B1223" s="183"/>
      <c r="C1223" s="183"/>
      <c r="D1223" s="183"/>
      <c r="E1223" s="219"/>
      <c r="F1223" s="219"/>
      <c r="G1223" s="183"/>
      <c r="H1223" s="183"/>
      <c r="I1223" s="183"/>
      <c r="J1223" s="183"/>
      <c r="K1223" s="183"/>
      <c r="L1223" s="183"/>
      <c r="M1223" s="183"/>
      <c r="N1223" s="183"/>
      <c r="O1223" s="183"/>
      <c r="P1223" s="183"/>
      <c r="Q1223" s="183"/>
      <c r="R1223" s="183"/>
      <c r="S1223" s="183"/>
      <c r="T1223" s="183"/>
      <c r="U1223" s="183"/>
      <c r="V1223" s="183"/>
      <c r="W1223" s="183"/>
      <c r="X1223" s="183"/>
      <c r="Y1223" s="183"/>
      <c r="Z1223" s="183"/>
      <c r="AA1223" s="183"/>
    </row>
    <row r="1224">
      <c r="A1224" s="183"/>
      <c r="B1224" s="183"/>
      <c r="C1224" s="183"/>
      <c r="D1224" s="183"/>
      <c r="E1224" s="219"/>
      <c r="F1224" s="219"/>
      <c r="G1224" s="183"/>
      <c r="H1224" s="183"/>
      <c r="I1224" s="183"/>
      <c r="J1224" s="183"/>
      <c r="K1224" s="183"/>
      <c r="L1224" s="183"/>
      <c r="M1224" s="183"/>
      <c r="N1224" s="183"/>
      <c r="O1224" s="183"/>
      <c r="P1224" s="183"/>
      <c r="Q1224" s="183"/>
      <c r="R1224" s="183"/>
      <c r="S1224" s="183"/>
      <c r="T1224" s="183"/>
      <c r="U1224" s="183"/>
      <c r="V1224" s="183"/>
      <c r="W1224" s="183"/>
      <c r="X1224" s="183"/>
      <c r="Y1224" s="183"/>
      <c r="Z1224" s="183"/>
      <c r="AA1224" s="183"/>
    </row>
    <row r="1225">
      <c r="A1225" s="183"/>
      <c r="B1225" s="183"/>
      <c r="C1225" s="183"/>
      <c r="D1225" s="183"/>
      <c r="E1225" s="219"/>
      <c r="F1225" s="219"/>
      <c r="G1225" s="183"/>
      <c r="H1225" s="183"/>
      <c r="I1225" s="183"/>
      <c r="J1225" s="183"/>
      <c r="K1225" s="183"/>
      <c r="L1225" s="183"/>
      <c r="M1225" s="183"/>
      <c r="N1225" s="183"/>
      <c r="O1225" s="183"/>
      <c r="P1225" s="183"/>
      <c r="Q1225" s="183"/>
      <c r="R1225" s="183"/>
      <c r="S1225" s="183"/>
      <c r="T1225" s="183"/>
      <c r="U1225" s="183"/>
      <c r="V1225" s="183"/>
      <c r="W1225" s="183"/>
      <c r="X1225" s="183"/>
      <c r="Y1225" s="183"/>
      <c r="Z1225" s="183"/>
      <c r="AA1225" s="183"/>
    </row>
    <row r="1226">
      <c r="A1226" s="183"/>
      <c r="B1226" s="183"/>
      <c r="C1226" s="183"/>
      <c r="D1226" s="183"/>
      <c r="E1226" s="219"/>
      <c r="F1226" s="219"/>
      <c r="G1226" s="183"/>
      <c r="H1226" s="183"/>
      <c r="I1226" s="183"/>
      <c r="J1226" s="183"/>
      <c r="K1226" s="183"/>
      <c r="L1226" s="183"/>
      <c r="M1226" s="183"/>
      <c r="N1226" s="183"/>
      <c r="O1226" s="183"/>
      <c r="P1226" s="183"/>
      <c r="Q1226" s="183"/>
      <c r="R1226" s="183"/>
      <c r="S1226" s="183"/>
      <c r="T1226" s="183"/>
      <c r="U1226" s="183"/>
      <c r="V1226" s="183"/>
      <c r="W1226" s="183"/>
      <c r="X1226" s="183"/>
      <c r="Y1226" s="183"/>
      <c r="Z1226" s="183"/>
      <c r="AA1226" s="183"/>
    </row>
    <row r="1227">
      <c r="A1227" s="183"/>
      <c r="B1227" s="183"/>
      <c r="C1227" s="183"/>
      <c r="D1227" s="183"/>
      <c r="E1227" s="219"/>
      <c r="F1227" s="219"/>
      <c r="G1227" s="183"/>
      <c r="H1227" s="183"/>
      <c r="I1227" s="183"/>
      <c r="J1227" s="183"/>
      <c r="K1227" s="183"/>
      <c r="L1227" s="183"/>
      <c r="M1227" s="183"/>
      <c r="N1227" s="183"/>
      <c r="O1227" s="183"/>
      <c r="P1227" s="183"/>
      <c r="Q1227" s="183"/>
      <c r="R1227" s="183"/>
      <c r="S1227" s="183"/>
      <c r="T1227" s="183"/>
      <c r="U1227" s="183"/>
      <c r="V1227" s="183"/>
      <c r="W1227" s="183"/>
      <c r="X1227" s="183"/>
      <c r="Y1227" s="183"/>
      <c r="Z1227" s="183"/>
      <c r="AA1227" s="183"/>
    </row>
    <row r="1228">
      <c r="A1228" s="183"/>
      <c r="B1228" s="183"/>
      <c r="C1228" s="183"/>
      <c r="D1228" s="183"/>
      <c r="E1228" s="219"/>
      <c r="F1228" s="219"/>
      <c r="G1228" s="183"/>
      <c r="H1228" s="183"/>
      <c r="I1228" s="183"/>
      <c r="J1228" s="183"/>
      <c r="K1228" s="183"/>
      <c r="L1228" s="183"/>
      <c r="M1228" s="183"/>
      <c r="N1228" s="183"/>
      <c r="O1228" s="183"/>
      <c r="P1228" s="183"/>
      <c r="Q1228" s="183"/>
      <c r="R1228" s="183"/>
      <c r="S1228" s="183"/>
      <c r="T1228" s="183"/>
      <c r="U1228" s="183"/>
      <c r="V1228" s="183"/>
      <c r="W1228" s="183"/>
      <c r="X1228" s="183"/>
      <c r="Y1228" s="183"/>
      <c r="Z1228" s="183"/>
      <c r="AA1228" s="183"/>
    </row>
    <row r="1229">
      <c r="A1229" s="183"/>
      <c r="B1229" s="183"/>
      <c r="C1229" s="183"/>
      <c r="D1229" s="183"/>
      <c r="E1229" s="219"/>
      <c r="F1229" s="219"/>
      <c r="G1229" s="183"/>
      <c r="H1229" s="183"/>
      <c r="I1229" s="183"/>
      <c r="J1229" s="183"/>
      <c r="K1229" s="183"/>
      <c r="L1229" s="183"/>
      <c r="M1229" s="183"/>
      <c r="N1229" s="183"/>
      <c r="O1229" s="183"/>
      <c r="P1229" s="183"/>
      <c r="Q1229" s="183"/>
      <c r="R1229" s="183"/>
      <c r="S1229" s="183"/>
      <c r="T1229" s="183"/>
      <c r="U1229" s="183"/>
      <c r="V1229" s="183"/>
      <c r="W1229" s="183"/>
      <c r="X1229" s="183"/>
      <c r="Y1229" s="183"/>
      <c r="Z1229" s="183"/>
      <c r="AA1229" s="183"/>
    </row>
    <row r="1230">
      <c r="A1230" s="183"/>
      <c r="B1230" s="183"/>
      <c r="C1230" s="183"/>
      <c r="D1230" s="183"/>
      <c r="E1230" s="219"/>
      <c r="F1230" s="219"/>
      <c r="G1230" s="183"/>
      <c r="H1230" s="183"/>
      <c r="I1230" s="183"/>
      <c r="J1230" s="183"/>
      <c r="K1230" s="183"/>
      <c r="L1230" s="183"/>
      <c r="M1230" s="183"/>
      <c r="N1230" s="183"/>
      <c r="O1230" s="183"/>
      <c r="P1230" s="183"/>
      <c r="Q1230" s="183"/>
      <c r="R1230" s="183"/>
      <c r="S1230" s="183"/>
      <c r="T1230" s="183"/>
      <c r="U1230" s="183"/>
      <c r="V1230" s="183"/>
      <c r="W1230" s="183"/>
      <c r="X1230" s="183"/>
      <c r="Y1230" s="183"/>
      <c r="Z1230" s="183"/>
      <c r="AA1230" s="183"/>
    </row>
    <row r="1231">
      <c r="A1231" s="183"/>
      <c r="B1231" s="183"/>
      <c r="C1231" s="183"/>
      <c r="D1231" s="183"/>
      <c r="E1231" s="219"/>
      <c r="F1231" s="219"/>
      <c r="G1231" s="183"/>
      <c r="H1231" s="183"/>
      <c r="I1231" s="183"/>
      <c r="J1231" s="183"/>
      <c r="K1231" s="183"/>
      <c r="L1231" s="183"/>
      <c r="M1231" s="183"/>
      <c r="N1231" s="183"/>
      <c r="O1231" s="183"/>
      <c r="P1231" s="183"/>
      <c r="Q1231" s="183"/>
      <c r="R1231" s="183"/>
      <c r="S1231" s="183"/>
      <c r="T1231" s="183"/>
      <c r="U1231" s="183"/>
      <c r="V1231" s="183"/>
      <c r="W1231" s="183"/>
      <c r="X1231" s="183"/>
      <c r="Y1231" s="183"/>
      <c r="Z1231" s="183"/>
      <c r="AA1231" s="183"/>
    </row>
    <row r="1232">
      <c r="A1232" s="183"/>
      <c r="B1232" s="183"/>
      <c r="C1232" s="183"/>
      <c r="D1232" s="183"/>
      <c r="E1232" s="219"/>
      <c r="F1232" s="219"/>
      <c r="G1232" s="183"/>
      <c r="H1232" s="183"/>
      <c r="I1232" s="183"/>
      <c r="J1232" s="183"/>
      <c r="K1232" s="183"/>
      <c r="L1232" s="183"/>
      <c r="M1232" s="183"/>
      <c r="N1232" s="183"/>
      <c r="O1232" s="183"/>
      <c r="P1232" s="183"/>
      <c r="Q1232" s="183"/>
      <c r="R1232" s="183"/>
      <c r="S1232" s="183"/>
      <c r="T1232" s="183"/>
      <c r="U1232" s="183"/>
      <c r="V1232" s="183"/>
      <c r="W1232" s="183"/>
      <c r="X1232" s="183"/>
      <c r="Y1232" s="183"/>
      <c r="Z1232" s="183"/>
      <c r="AA1232" s="183"/>
    </row>
    <row r="1233">
      <c r="A1233" s="183"/>
      <c r="B1233" s="183"/>
      <c r="C1233" s="183"/>
      <c r="D1233" s="183"/>
      <c r="E1233" s="219"/>
      <c r="F1233" s="219"/>
      <c r="G1233" s="183"/>
      <c r="H1233" s="183"/>
      <c r="I1233" s="183"/>
      <c r="J1233" s="183"/>
      <c r="K1233" s="183"/>
      <c r="L1233" s="183"/>
      <c r="M1233" s="183"/>
      <c r="N1233" s="183"/>
      <c r="O1233" s="183"/>
      <c r="P1233" s="183"/>
      <c r="Q1233" s="183"/>
      <c r="R1233" s="183"/>
      <c r="S1233" s="183"/>
      <c r="T1233" s="183"/>
      <c r="U1233" s="183"/>
      <c r="V1233" s="183"/>
      <c r="W1233" s="183"/>
      <c r="X1233" s="183"/>
      <c r="Y1233" s="183"/>
      <c r="Z1233" s="183"/>
      <c r="AA1233" s="183"/>
    </row>
    <row r="1234">
      <c r="A1234" s="183"/>
      <c r="B1234" s="183"/>
      <c r="C1234" s="183"/>
      <c r="D1234" s="183"/>
      <c r="E1234" s="219"/>
      <c r="F1234" s="219"/>
      <c r="G1234" s="183"/>
      <c r="H1234" s="183"/>
      <c r="I1234" s="183"/>
      <c r="J1234" s="183"/>
      <c r="K1234" s="183"/>
      <c r="L1234" s="183"/>
      <c r="M1234" s="183"/>
      <c r="N1234" s="183"/>
      <c r="O1234" s="183"/>
      <c r="P1234" s="183"/>
      <c r="Q1234" s="183"/>
      <c r="R1234" s="183"/>
      <c r="S1234" s="183"/>
      <c r="T1234" s="183"/>
      <c r="U1234" s="183"/>
      <c r="V1234" s="183"/>
      <c r="W1234" s="183"/>
      <c r="X1234" s="183"/>
      <c r="Y1234" s="183"/>
      <c r="Z1234" s="183"/>
      <c r="AA1234" s="183"/>
    </row>
    <row r="1235">
      <c r="A1235" s="183"/>
      <c r="B1235" s="183"/>
      <c r="C1235" s="183"/>
      <c r="D1235" s="183"/>
      <c r="E1235" s="219"/>
      <c r="F1235" s="219"/>
      <c r="G1235" s="183"/>
      <c r="H1235" s="183"/>
      <c r="I1235" s="183"/>
      <c r="J1235" s="183"/>
      <c r="K1235" s="183"/>
      <c r="L1235" s="183"/>
      <c r="M1235" s="183"/>
      <c r="N1235" s="183"/>
      <c r="O1235" s="183"/>
      <c r="P1235" s="183"/>
      <c r="Q1235" s="183"/>
      <c r="R1235" s="183"/>
      <c r="S1235" s="183"/>
      <c r="T1235" s="183"/>
      <c r="U1235" s="183"/>
      <c r="V1235" s="183"/>
      <c r="W1235" s="183"/>
      <c r="X1235" s="183"/>
      <c r="Y1235" s="183"/>
      <c r="Z1235" s="183"/>
      <c r="AA1235" s="183"/>
    </row>
    <row r="1236">
      <c r="A1236" s="183"/>
      <c r="B1236" s="183"/>
      <c r="C1236" s="183"/>
      <c r="D1236" s="183"/>
      <c r="E1236" s="219"/>
      <c r="F1236" s="219"/>
      <c r="G1236" s="183"/>
      <c r="H1236" s="183"/>
      <c r="I1236" s="183"/>
      <c r="J1236" s="183"/>
      <c r="K1236" s="183"/>
      <c r="L1236" s="183"/>
      <c r="M1236" s="183"/>
      <c r="N1236" s="183"/>
      <c r="O1236" s="183"/>
      <c r="P1236" s="183"/>
      <c r="Q1236" s="183"/>
      <c r="R1236" s="183"/>
      <c r="S1236" s="183"/>
      <c r="T1236" s="183"/>
      <c r="U1236" s="183"/>
      <c r="V1236" s="183"/>
      <c r="W1236" s="183"/>
      <c r="X1236" s="183"/>
      <c r="Y1236" s="183"/>
      <c r="Z1236" s="183"/>
      <c r="AA1236" s="183"/>
    </row>
    <row r="1237">
      <c r="A1237" s="183"/>
      <c r="B1237" s="183"/>
      <c r="C1237" s="183"/>
      <c r="D1237" s="183"/>
      <c r="E1237" s="219"/>
      <c r="F1237" s="219"/>
      <c r="G1237" s="183"/>
      <c r="H1237" s="183"/>
      <c r="I1237" s="183"/>
      <c r="J1237" s="183"/>
      <c r="K1237" s="183"/>
      <c r="L1237" s="183"/>
      <c r="M1237" s="183"/>
      <c r="N1237" s="183"/>
      <c r="O1237" s="183"/>
      <c r="P1237" s="183"/>
      <c r="Q1237" s="183"/>
      <c r="R1237" s="183"/>
      <c r="S1237" s="183"/>
      <c r="T1237" s="183"/>
      <c r="U1237" s="183"/>
      <c r="V1237" s="183"/>
      <c r="W1237" s="183"/>
      <c r="X1237" s="183"/>
      <c r="Y1237" s="183"/>
      <c r="Z1237" s="183"/>
      <c r="AA1237" s="183"/>
    </row>
    <row r="1238">
      <c r="A1238" s="183"/>
      <c r="B1238" s="183"/>
      <c r="C1238" s="183"/>
      <c r="D1238" s="183"/>
      <c r="E1238" s="219"/>
      <c r="F1238" s="219"/>
      <c r="G1238" s="183"/>
      <c r="H1238" s="183"/>
      <c r="I1238" s="183"/>
      <c r="J1238" s="183"/>
      <c r="K1238" s="183"/>
      <c r="L1238" s="183"/>
      <c r="M1238" s="183"/>
      <c r="N1238" s="183"/>
      <c r="O1238" s="183"/>
      <c r="P1238" s="183"/>
      <c r="Q1238" s="183"/>
      <c r="R1238" s="183"/>
      <c r="S1238" s="183"/>
      <c r="T1238" s="183"/>
      <c r="U1238" s="183"/>
      <c r="V1238" s="183"/>
      <c r="W1238" s="183"/>
      <c r="X1238" s="183"/>
      <c r="Y1238" s="183"/>
      <c r="Z1238" s="183"/>
      <c r="AA1238" s="183"/>
    </row>
    <row r="1239">
      <c r="A1239" s="183"/>
      <c r="B1239" s="183"/>
      <c r="C1239" s="183"/>
      <c r="D1239" s="183"/>
      <c r="E1239" s="219"/>
      <c r="F1239" s="219"/>
      <c r="G1239" s="183"/>
      <c r="H1239" s="183"/>
      <c r="I1239" s="183"/>
      <c r="J1239" s="183"/>
      <c r="K1239" s="183"/>
      <c r="L1239" s="183"/>
      <c r="M1239" s="183"/>
      <c r="N1239" s="183"/>
      <c r="O1239" s="183"/>
      <c r="P1239" s="183"/>
      <c r="Q1239" s="183"/>
      <c r="R1239" s="183"/>
      <c r="S1239" s="183"/>
      <c r="T1239" s="183"/>
      <c r="U1239" s="183"/>
      <c r="V1239" s="183"/>
      <c r="W1239" s="183"/>
      <c r="X1239" s="183"/>
      <c r="Y1239" s="183"/>
      <c r="Z1239" s="183"/>
      <c r="AA1239" s="183"/>
    </row>
    <row r="1240">
      <c r="A1240" s="183"/>
      <c r="B1240" s="183"/>
      <c r="C1240" s="183"/>
      <c r="D1240" s="183"/>
      <c r="E1240" s="219"/>
      <c r="F1240" s="219"/>
      <c r="G1240" s="183"/>
      <c r="H1240" s="183"/>
      <c r="I1240" s="183"/>
      <c r="J1240" s="183"/>
      <c r="K1240" s="183"/>
      <c r="L1240" s="183"/>
      <c r="M1240" s="183"/>
      <c r="N1240" s="183"/>
      <c r="O1240" s="183"/>
      <c r="P1240" s="183"/>
      <c r="Q1240" s="183"/>
      <c r="R1240" s="183"/>
      <c r="S1240" s="183"/>
      <c r="T1240" s="183"/>
      <c r="U1240" s="183"/>
      <c r="V1240" s="183"/>
      <c r="W1240" s="183"/>
      <c r="X1240" s="183"/>
      <c r="Y1240" s="183"/>
      <c r="Z1240" s="183"/>
      <c r="AA1240" s="183"/>
    </row>
    <row r="1241">
      <c r="A1241" s="183"/>
      <c r="B1241" s="183"/>
      <c r="C1241" s="183"/>
      <c r="D1241" s="183"/>
      <c r="E1241" s="219"/>
      <c r="F1241" s="219"/>
      <c r="G1241" s="183"/>
      <c r="H1241" s="183"/>
      <c r="I1241" s="183"/>
      <c r="J1241" s="183"/>
      <c r="K1241" s="183"/>
      <c r="L1241" s="183"/>
      <c r="M1241" s="183"/>
      <c r="N1241" s="183"/>
      <c r="O1241" s="183"/>
      <c r="P1241" s="183"/>
      <c r="Q1241" s="183"/>
      <c r="R1241" s="183"/>
      <c r="S1241" s="183"/>
      <c r="T1241" s="183"/>
      <c r="U1241" s="183"/>
      <c r="V1241" s="183"/>
      <c r="W1241" s="183"/>
      <c r="X1241" s="183"/>
      <c r="Y1241" s="183"/>
      <c r="Z1241" s="183"/>
      <c r="AA1241" s="183"/>
    </row>
    <row r="1242">
      <c r="A1242" s="183"/>
      <c r="B1242" s="183"/>
      <c r="C1242" s="183"/>
      <c r="D1242" s="183"/>
      <c r="E1242" s="219"/>
      <c r="F1242" s="219"/>
      <c r="G1242" s="183"/>
      <c r="H1242" s="183"/>
      <c r="I1242" s="183"/>
      <c r="J1242" s="183"/>
      <c r="K1242" s="183"/>
      <c r="L1242" s="183"/>
      <c r="M1242" s="183"/>
      <c r="N1242" s="183"/>
      <c r="O1242" s="183"/>
      <c r="P1242" s="183"/>
      <c r="Q1242" s="183"/>
      <c r="R1242" s="183"/>
      <c r="S1242" s="183"/>
      <c r="T1242" s="183"/>
      <c r="U1242" s="183"/>
      <c r="V1242" s="183"/>
      <c r="W1242" s="183"/>
      <c r="X1242" s="183"/>
      <c r="Y1242" s="183"/>
      <c r="Z1242" s="183"/>
      <c r="AA1242" s="183"/>
    </row>
    <row r="1243">
      <c r="A1243" s="183"/>
      <c r="B1243" s="183"/>
      <c r="C1243" s="183"/>
      <c r="D1243" s="183"/>
      <c r="E1243" s="219"/>
      <c r="F1243" s="219"/>
      <c r="G1243" s="183"/>
      <c r="H1243" s="183"/>
      <c r="I1243" s="183"/>
      <c r="J1243" s="183"/>
      <c r="K1243" s="183"/>
      <c r="L1243" s="183"/>
      <c r="M1243" s="183"/>
      <c r="N1243" s="183"/>
      <c r="O1243" s="183"/>
      <c r="P1243" s="183"/>
      <c r="Q1243" s="183"/>
      <c r="R1243" s="183"/>
      <c r="S1243" s="183"/>
      <c r="T1243" s="183"/>
      <c r="U1243" s="183"/>
      <c r="V1243" s="183"/>
      <c r="W1243" s="183"/>
      <c r="X1243" s="183"/>
      <c r="Y1243" s="183"/>
      <c r="Z1243" s="183"/>
      <c r="AA1243" s="183"/>
    </row>
    <row r="1244">
      <c r="A1244" s="183"/>
      <c r="B1244" s="183"/>
      <c r="C1244" s="183"/>
      <c r="D1244" s="183"/>
      <c r="E1244" s="219"/>
      <c r="F1244" s="219"/>
      <c r="G1244" s="183"/>
      <c r="H1244" s="183"/>
      <c r="I1244" s="183"/>
      <c r="J1244" s="183"/>
      <c r="K1244" s="183"/>
      <c r="L1244" s="183"/>
      <c r="M1244" s="183"/>
      <c r="N1244" s="183"/>
      <c r="O1244" s="183"/>
      <c r="P1244" s="183"/>
      <c r="Q1244" s="183"/>
      <c r="R1244" s="183"/>
      <c r="S1244" s="183"/>
      <c r="T1244" s="183"/>
      <c r="U1244" s="183"/>
      <c r="V1244" s="183"/>
      <c r="W1244" s="183"/>
      <c r="X1244" s="183"/>
      <c r="Y1244" s="183"/>
      <c r="Z1244" s="183"/>
      <c r="AA1244" s="183"/>
    </row>
    <row r="1245">
      <c r="A1245" s="183"/>
      <c r="B1245" s="183"/>
      <c r="C1245" s="183"/>
      <c r="D1245" s="183"/>
      <c r="E1245" s="219"/>
      <c r="F1245" s="219"/>
      <c r="G1245" s="183"/>
      <c r="H1245" s="183"/>
      <c r="I1245" s="183"/>
      <c r="J1245" s="183"/>
      <c r="K1245" s="183"/>
      <c r="L1245" s="183"/>
      <c r="M1245" s="183"/>
      <c r="N1245" s="183"/>
      <c r="O1245" s="183"/>
      <c r="P1245" s="183"/>
      <c r="Q1245" s="183"/>
      <c r="R1245" s="183"/>
      <c r="S1245" s="183"/>
      <c r="T1245" s="183"/>
      <c r="U1245" s="183"/>
      <c r="V1245" s="183"/>
      <c r="W1245" s="183"/>
      <c r="X1245" s="183"/>
      <c r="Y1245" s="183"/>
      <c r="Z1245" s="183"/>
      <c r="AA1245" s="183"/>
    </row>
    <row r="1246">
      <c r="A1246" s="183"/>
      <c r="B1246" s="183"/>
      <c r="C1246" s="183"/>
      <c r="D1246" s="183"/>
      <c r="E1246" s="219"/>
      <c r="F1246" s="219"/>
      <c r="G1246" s="183"/>
      <c r="H1246" s="183"/>
      <c r="I1246" s="183"/>
      <c r="J1246" s="183"/>
      <c r="K1246" s="183"/>
      <c r="L1246" s="183"/>
      <c r="M1246" s="183"/>
      <c r="N1246" s="183"/>
      <c r="O1246" s="183"/>
      <c r="P1246" s="183"/>
      <c r="Q1246" s="183"/>
      <c r="R1246" s="183"/>
      <c r="S1246" s="183"/>
      <c r="T1246" s="183"/>
      <c r="U1246" s="183"/>
      <c r="V1246" s="183"/>
      <c r="W1246" s="183"/>
      <c r="X1246" s="183"/>
      <c r="Y1246" s="183"/>
      <c r="Z1246" s="183"/>
      <c r="AA1246" s="183"/>
    </row>
    <row r="1247">
      <c r="A1247" s="183"/>
      <c r="B1247" s="183"/>
      <c r="C1247" s="183"/>
      <c r="D1247" s="183"/>
      <c r="E1247" s="219"/>
      <c r="F1247" s="219"/>
      <c r="G1247" s="183"/>
      <c r="H1247" s="183"/>
      <c r="I1247" s="183"/>
      <c r="J1247" s="183"/>
      <c r="K1247" s="183"/>
      <c r="L1247" s="183"/>
      <c r="M1247" s="183"/>
      <c r="N1247" s="183"/>
      <c r="O1247" s="183"/>
      <c r="P1247" s="183"/>
      <c r="Q1247" s="183"/>
      <c r="R1247" s="183"/>
      <c r="S1247" s="183"/>
      <c r="T1247" s="183"/>
      <c r="U1247" s="183"/>
      <c r="V1247" s="183"/>
      <c r="W1247" s="183"/>
      <c r="X1247" s="183"/>
      <c r="Y1247" s="183"/>
      <c r="Z1247" s="183"/>
      <c r="AA1247" s="183"/>
    </row>
    <row r="1248">
      <c r="A1248" s="183"/>
      <c r="B1248" s="183"/>
      <c r="C1248" s="183"/>
      <c r="D1248" s="183"/>
      <c r="E1248" s="219"/>
      <c r="F1248" s="219"/>
      <c r="G1248" s="183"/>
      <c r="H1248" s="183"/>
      <c r="I1248" s="183"/>
      <c r="J1248" s="183"/>
      <c r="K1248" s="183"/>
      <c r="L1248" s="183"/>
      <c r="M1248" s="183"/>
      <c r="N1248" s="183"/>
      <c r="O1248" s="183"/>
      <c r="P1248" s="183"/>
      <c r="Q1248" s="183"/>
      <c r="R1248" s="183"/>
      <c r="S1248" s="183"/>
      <c r="T1248" s="183"/>
      <c r="U1248" s="183"/>
      <c r="V1248" s="183"/>
      <c r="W1248" s="183"/>
      <c r="X1248" s="183"/>
      <c r="Y1248" s="183"/>
      <c r="Z1248" s="183"/>
      <c r="AA1248" s="183"/>
    </row>
    <row r="1249">
      <c r="A1249" s="183"/>
      <c r="B1249" s="183"/>
      <c r="C1249" s="183"/>
      <c r="D1249" s="183"/>
      <c r="E1249" s="219"/>
      <c r="F1249" s="219"/>
      <c r="G1249" s="183"/>
      <c r="H1249" s="183"/>
      <c r="I1249" s="183"/>
      <c r="J1249" s="183"/>
      <c r="K1249" s="183"/>
      <c r="L1249" s="183"/>
      <c r="M1249" s="183"/>
      <c r="N1249" s="183"/>
      <c r="O1249" s="183"/>
      <c r="P1249" s="183"/>
      <c r="Q1249" s="183"/>
      <c r="R1249" s="183"/>
      <c r="S1249" s="183"/>
      <c r="T1249" s="183"/>
      <c r="U1249" s="183"/>
      <c r="V1249" s="183"/>
      <c r="W1249" s="183"/>
      <c r="X1249" s="183"/>
      <c r="Y1249" s="183"/>
      <c r="Z1249" s="183"/>
      <c r="AA1249" s="183"/>
    </row>
    <row r="1250">
      <c r="A1250" s="183"/>
      <c r="B1250" s="183"/>
      <c r="C1250" s="183"/>
      <c r="D1250" s="183"/>
      <c r="E1250" s="219"/>
      <c r="F1250" s="219"/>
      <c r="G1250" s="183"/>
      <c r="H1250" s="183"/>
      <c r="I1250" s="183"/>
      <c r="J1250" s="183"/>
      <c r="K1250" s="183"/>
      <c r="L1250" s="183"/>
      <c r="M1250" s="183"/>
      <c r="N1250" s="183"/>
      <c r="O1250" s="183"/>
      <c r="P1250" s="183"/>
      <c r="Q1250" s="183"/>
      <c r="R1250" s="183"/>
      <c r="S1250" s="183"/>
      <c r="T1250" s="183"/>
      <c r="U1250" s="183"/>
      <c r="V1250" s="183"/>
      <c r="W1250" s="183"/>
      <c r="X1250" s="183"/>
      <c r="Y1250" s="183"/>
      <c r="Z1250" s="183"/>
      <c r="AA1250" s="183"/>
    </row>
    <row r="1251">
      <c r="A1251" s="183"/>
      <c r="B1251" s="183"/>
      <c r="C1251" s="183"/>
      <c r="D1251" s="183"/>
      <c r="E1251" s="219"/>
      <c r="F1251" s="219"/>
      <c r="G1251" s="183"/>
      <c r="H1251" s="183"/>
      <c r="I1251" s="183"/>
      <c r="J1251" s="183"/>
      <c r="K1251" s="183"/>
      <c r="L1251" s="183"/>
      <c r="M1251" s="183"/>
      <c r="N1251" s="183"/>
      <c r="O1251" s="183"/>
      <c r="P1251" s="183"/>
      <c r="Q1251" s="183"/>
      <c r="R1251" s="183"/>
      <c r="S1251" s="183"/>
      <c r="T1251" s="183"/>
      <c r="U1251" s="183"/>
      <c r="V1251" s="183"/>
      <c r="W1251" s="183"/>
      <c r="X1251" s="183"/>
      <c r="Y1251" s="183"/>
      <c r="Z1251" s="183"/>
      <c r="AA1251" s="183"/>
    </row>
    <row r="1252">
      <c r="A1252" s="183"/>
      <c r="B1252" s="183"/>
      <c r="C1252" s="183"/>
      <c r="D1252" s="183"/>
      <c r="E1252" s="219"/>
      <c r="F1252" s="219"/>
      <c r="G1252" s="183"/>
      <c r="H1252" s="183"/>
      <c r="I1252" s="183"/>
      <c r="J1252" s="183"/>
      <c r="K1252" s="183"/>
      <c r="L1252" s="183"/>
      <c r="M1252" s="183"/>
      <c r="N1252" s="183"/>
      <c r="O1252" s="183"/>
      <c r="P1252" s="183"/>
      <c r="Q1252" s="183"/>
      <c r="R1252" s="183"/>
      <c r="S1252" s="183"/>
      <c r="T1252" s="183"/>
      <c r="U1252" s="183"/>
      <c r="V1252" s="183"/>
      <c r="W1252" s="183"/>
      <c r="X1252" s="183"/>
      <c r="Y1252" s="183"/>
      <c r="Z1252" s="183"/>
      <c r="AA1252" s="183"/>
    </row>
    <row r="1253">
      <c r="A1253" s="183"/>
      <c r="B1253" s="183"/>
      <c r="C1253" s="183"/>
      <c r="D1253" s="183"/>
      <c r="E1253" s="219"/>
      <c r="F1253" s="219"/>
      <c r="G1253" s="183"/>
      <c r="H1253" s="183"/>
      <c r="I1253" s="183"/>
      <c r="J1253" s="183"/>
      <c r="K1253" s="183"/>
      <c r="L1253" s="183"/>
      <c r="M1253" s="183"/>
      <c r="N1253" s="183"/>
      <c r="O1253" s="183"/>
      <c r="P1253" s="183"/>
      <c r="Q1253" s="183"/>
      <c r="R1253" s="183"/>
      <c r="S1253" s="183"/>
      <c r="T1253" s="183"/>
      <c r="U1253" s="183"/>
      <c r="V1253" s="183"/>
      <c r="W1253" s="183"/>
      <c r="X1253" s="183"/>
      <c r="Y1253" s="183"/>
      <c r="Z1253" s="183"/>
      <c r="AA1253" s="183"/>
    </row>
    <row r="1254">
      <c r="A1254" s="183"/>
      <c r="B1254" s="183"/>
      <c r="C1254" s="183"/>
      <c r="D1254" s="183"/>
      <c r="E1254" s="219"/>
      <c r="F1254" s="219"/>
      <c r="G1254" s="183"/>
      <c r="H1254" s="183"/>
      <c r="I1254" s="183"/>
      <c r="J1254" s="183"/>
      <c r="K1254" s="183"/>
      <c r="L1254" s="183"/>
      <c r="M1254" s="183"/>
      <c r="N1254" s="183"/>
      <c r="O1254" s="183"/>
      <c r="P1254" s="183"/>
      <c r="Q1254" s="183"/>
      <c r="R1254" s="183"/>
      <c r="S1254" s="183"/>
      <c r="T1254" s="183"/>
      <c r="U1254" s="183"/>
      <c r="V1254" s="183"/>
      <c r="W1254" s="183"/>
      <c r="X1254" s="183"/>
      <c r="Y1254" s="183"/>
      <c r="Z1254" s="183"/>
      <c r="AA1254" s="183"/>
    </row>
    <row r="1255">
      <c r="A1255" s="183"/>
      <c r="B1255" s="183"/>
      <c r="C1255" s="183"/>
      <c r="D1255" s="183"/>
      <c r="E1255" s="219"/>
      <c r="F1255" s="219"/>
      <c r="G1255" s="183"/>
      <c r="H1255" s="183"/>
      <c r="I1255" s="183"/>
      <c r="J1255" s="183"/>
      <c r="K1255" s="183"/>
      <c r="L1255" s="183"/>
      <c r="M1255" s="183"/>
      <c r="N1255" s="183"/>
      <c r="O1255" s="183"/>
      <c r="P1255" s="183"/>
      <c r="Q1255" s="183"/>
      <c r="R1255" s="183"/>
      <c r="S1255" s="183"/>
      <c r="T1255" s="183"/>
      <c r="U1255" s="183"/>
      <c r="V1255" s="183"/>
      <c r="W1255" s="183"/>
      <c r="X1255" s="183"/>
      <c r="Y1255" s="183"/>
      <c r="Z1255" s="183"/>
      <c r="AA1255" s="183"/>
    </row>
    <row r="1256">
      <c r="A1256" s="183"/>
      <c r="B1256" s="183"/>
      <c r="C1256" s="183"/>
      <c r="D1256" s="183"/>
      <c r="E1256" s="219"/>
      <c r="F1256" s="219"/>
      <c r="G1256" s="183"/>
      <c r="H1256" s="183"/>
      <c r="I1256" s="183"/>
      <c r="J1256" s="183"/>
      <c r="K1256" s="183"/>
      <c r="L1256" s="183"/>
      <c r="M1256" s="183"/>
      <c r="N1256" s="183"/>
      <c r="O1256" s="183"/>
      <c r="P1256" s="183"/>
      <c r="Q1256" s="183"/>
      <c r="R1256" s="183"/>
      <c r="S1256" s="183"/>
      <c r="T1256" s="183"/>
      <c r="U1256" s="183"/>
      <c r="V1256" s="183"/>
      <c r="W1256" s="183"/>
      <c r="X1256" s="183"/>
      <c r="Y1256" s="183"/>
      <c r="Z1256" s="183"/>
      <c r="AA1256" s="183"/>
    </row>
    <row r="1257">
      <c r="A1257" s="183"/>
      <c r="B1257" s="183"/>
      <c r="C1257" s="183"/>
      <c r="D1257" s="183"/>
      <c r="E1257" s="219"/>
      <c r="F1257" s="219"/>
      <c r="G1257" s="183"/>
      <c r="H1257" s="183"/>
      <c r="I1257" s="183"/>
      <c r="J1257" s="183"/>
      <c r="K1257" s="183"/>
      <c r="L1257" s="183"/>
      <c r="M1257" s="183"/>
      <c r="N1257" s="183"/>
      <c r="O1257" s="183"/>
      <c r="P1257" s="183"/>
      <c r="Q1257" s="183"/>
      <c r="R1257" s="183"/>
      <c r="S1257" s="183"/>
      <c r="T1257" s="183"/>
      <c r="U1257" s="183"/>
      <c r="V1257" s="183"/>
      <c r="W1257" s="183"/>
      <c r="X1257" s="183"/>
      <c r="Y1257" s="183"/>
      <c r="Z1257" s="183"/>
      <c r="AA1257" s="183"/>
    </row>
    <row r="1258">
      <c r="A1258" s="183"/>
      <c r="B1258" s="183"/>
      <c r="C1258" s="183"/>
      <c r="D1258" s="183"/>
      <c r="E1258" s="219"/>
      <c r="F1258" s="219"/>
      <c r="G1258" s="183"/>
      <c r="H1258" s="183"/>
      <c r="I1258" s="183"/>
      <c r="J1258" s="183"/>
      <c r="K1258" s="183"/>
      <c r="L1258" s="183"/>
      <c r="M1258" s="183"/>
      <c r="N1258" s="183"/>
      <c r="O1258" s="183"/>
      <c r="P1258" s="183"/>
      <c r="Q1258" s="183"/>
      <c r="R1258" s="183"/>
      <c r="S1258" s="183"/>
      <c r="T1258" s="183"/>
      <c r="U1258" s="183"/>
      <c r="V1258" s="183"/>
      <c r="W1258" s="183"/>
      <c r="X1258" s="183"/>
      <c r="Y1258" s="183"/>
      <c r="Z1258" s="183"/>
      <c r="AA1258" s="183"/>
    </row>
    <row r="1259">
      <c r="A1259" s="183"/>
      <c r="B1259" s="183"/>
      <c r="C1259" s="183"/>
      <c r="D1259" s="183"/>
      <c r="E1259" s="219"/>
      <c r="F1259" s="219"/>
      <c r="G1259" s="183"/>
      <c r="H1259" s="183"/>
      <c r="I1259" s="183"/>
      <c r="J1259" s="183"/>
      <c r="K1259" s="183"/>
      <c r="L1259" s="183"/>
      <c r="M1259" s="183"/>
      <c r="N1259" s="183"/>
      <c r="O1259" s="183"/>
      <c r="P1259" s="183"/>
      <c r="Q1259" s="183"/>
      <c r="R1259" s="183"/>
      <c r="S1259" s="183"/>
      <c r="T1259" s="183"/>
      <c r="U1259" s="183"/>
      <c r="V1259" s="183"/>
      <c r="W1259" s="183"/>
      <c r="X1259" s="183"/>
      <c r="Y1259" s="183"/>
      <c r="Z1259" s="183"/>
      <c r="AA1259" s="183"/>
    </row>
    <row r="1260">
      <c r="A1260" s="183"/>
      <c r="B1260" s="183"/>
      <c r="C1260" s="183"/>
      <c r="D1260" s="183"/>
      <c r="E1260" s="219"/>
      <c r="F1260" s="219"/>
      <c r="G1260" s="183"/>
      <c r="H1260" s="183"/>
      <c r="I1260" s="183"/>
      <c r="J1260" s="183"/>
      <c r="K1260" s="183"/>
      <c r="L1260" s="183"/>
      <c r="M1260" s="183"/>
      <c r="N1260" s="183"/>
      <c r="O1260" s="183"/>
      <c r="P1260" s="183"/>
      <c r="Q1260" s="183"/>
      <c r="R1260" s="183"/>
      <c r="S1260" s="183"/>
      <c r="T1260" s="183"/>
      <c r="U1260" s="183"/>
      <c r="V1260" s="183"/>
      <c r="W1260" s="183"/>
      <c r="X1260" s="183"/>
      <c r="Y1260" s="183"/>
      <c r="Z1260" s="183"/>
      <c r="AA1260" s="183"/>
    </row>
    <row r="1261">
      <c r="A1261" s="183"/>
      <c r="B1261" s="183"/>
      <c r="C1261" s="183"/>
      <c r="D1261" s="183"/>
      <c r="E1261" s="219"/>
      <c r="F1261" s="219"/>
      <c r="G1261" s="183"/>
      <c r="H1261" s="183"/>
      <c r="I1261" s="183"/>
      <c r="J1261" s="183"/>
      <c r="K1261" s="183"/>
      <c r="L1261" s="183"/>
      <c r="M1261" s="183"/>
      <c r="N1261" s="183"/>
      <c r="O1261" s="183"/>
      <c r="P1261" s="183"/>
      <c r="Q1261" s="183"/>
      <c r="R1261" s="183"/>
      <c r="S1261" s="183"/>
      <c r="T1261" s="183"/>
      <c r="U1261" s="183"/>
      <c r="V1261" s="183"/>
      <c r="W1261" s="183"/>
      <c r="X1261" s="183"/>
      <c r="Y1261" s="183"/>
      <c r="Z1261" s="183"/>
      <c r="AA1261" s="183"/>
    </row>
    <row r="1262">
      <c r="A1262" s="183"/>
      <c r="B1262" s="183"/>
      <c r="C1262" s="183"/>
      <c r="D1262" s="183"/>
      <c r="E1262" s="219"/>
      <c r="F1262" s="219"/>
      <c r="G1262" s="183"/>
      <c r="H1262" s="183"/>
      <c r="I1262" s="183"/>
      <c r="J1262" s="183"/>
      <c r="K1262" s="183"/>
      <c r="L1262" s="183"/>
      <c r="M1262" s="183"/>
      <c r="N1262" s="183"/>
      <c r="O1262" s="183"/>
      <c r="P1262" s="183"/>
      <c r="Q1262" s="183"/>
      <c r="R1262" s="183"/>
      <c r="S1262" s="183"/>
      <c r="T1262" s="183"/>
      <c r="U1262" s="183"/>
      <c r="V1262" s="183"/>
      <c r="W1262" s="183"/>
      <c r="X1262" s="183"/>
      <c r="Y1262" s="183"/>
      <c r="Z1262" s="183"/>
      <c r="AA1262" s="183"/>
    </row>
    <row r="1263">
      <c r="A1263" s="183"/>
      <c r="B1263" s="183"/>
      <c r="C1263" s="183"/>
      <c r="D1263" s="183"/>
      <c r="E1263" s="219"/>
      <c r="F1263" s="219"/>
      <c r="G1263" s="183"/>
      <c r="H1263" s="183"/>
      <c r="I1263" s="183"/>
      <c r="J1263" s="183"/>
      <c r="K1263" s="183"/>
      <c r="L1263" s="183"/>
      <c r="M1263" s="183"/>
      <c r="N1263" s="183"/>
      <c r="O1263" s="183"/>
      <c r="P1263" s="183"/>
      <c r="Q1263" s="183"/>
      <c r="R1263" s="183"/>
      <c r="S1263" s="183"/>
      <c r="T1263" s="183"/>
      <c r="U1263" s="183"/>
      <c r="V1263" s="183"/>
      <c r="W1263" s="183"/>
      <c r="X1263" s="183"/>
      <c r="Y1263" s="183"/>
      <c r="Z1263" s="183"/>
      <c r="AA1263" s="183"/>
    </row>
    <row r="1264">
      <c r="A1264" s="183"/>
      <c r="B1264" s="183"/>
      <c r="C1264" s="183"/>
      <c r="D1264" s="183"/>
      <c r="E1264" s="219"/>
      <c r="F1264" s="219"/>
      <c r="G1264" s="183"/>
      <c r="H1264" s="183"/>
      <c r="I1264" s="183"/>
      <c r="J1264" s="183"/>
      <c r="K1264" s="183"/>
      <c r="L1264" s="183"/>
      <c r="M1264" s="183"/>
      <c r="N1264" s="183"/>
      <c r="O1264" s="183"/>
      <c r="P1264" s="183"/>
      <c r="Q1264" s="183"/>
      <c r="R1264" s="183"/>
      <c r="S1264" s="183"/>
      <c r="T1264" s="183"/>
      <c r="U1264" s="183"/>
      <c r="V1264" s="183"/>
      <c r="W1264" s="183"/>
      <c r="X1264" s="183"/>
      <c r="Y1264" s="183"/>
      <c r="Z1264" s="183"/>
      <c r="AA1264" s="183"/>
    </row>
    <row r="1265">
      <c r="A1265" s="183"/>
      <c r="B1265" s="183"/>
      <c r="C1265" s="183"/>
      <c r="D1265" s="183"/>
      <c r="E1265" s="219"/>
      <c r="F1265" s="219"/>
      <c r="G1265" s="183"/>
      <c r="H1265" s="183"/>
      <c r="I1265" s="183"/>
      <c r="J1265" s="183"/>
      <c r="K1265" s="183"/>
      <c r="L1265" s="183"/>
      <c r="M1265" s="183"/>
      <c r="N1265" s="183"/>
      <c r="O1265" s="183"/>
      <c r="P1265" s="183"/>
      <c r="Q1265" s="183"/>
      <c r="R1265" s="183"/>
      <c r="S1265" s="183"/>
      <c r="T1265" s="183"/>
      <c r="U1265" s="183"/>
      <c r="V1265" s="183"/>
      <c r="W1265" s="183"/>
      <c r="X1265" s="183"/>
      <c r="Y1265" s="183"/>
      <c r="Z1265" s="183"/>
      <c r="AA1265" s="183"/>
    </row>
    <row r="1266">
      <c r="A1266" s="183"/>
      <c r="B1266" s="183"/>
      <c r="C1266" s="183"/>
      <c r="D1266" s="183"/>
      <c r="E1266" s="219"/>
      <c r="F1266" s="219"/>
      <c r="G1266" s="183"/>
      <c r="H1266" s="183"/>
      <c r="I1266" s="183"/>
      <c r="J1266" s="183"/>
      <c r="K1266" s="183"/>
      <c r="L1266" s="183"/>
      <c r="M1266" s="183"/>
      <c r="N1266" s="183"/>
      <c r="O1266" s="183"/>
      <c r="P1266" s="183"/>
      <c r="Q1266" s="183"/>
      <c r="R1266" s="183"/>
      <c r="S1266" s="183"/>
      <c r="T1266" s="183"/>
      <c r="U1266" s="183"/>
      <c r="V1266" s="183"/>
      <c r="W1266" s="183"/>
      <c r="X1266" s="183"/>
      <c r="Y1266" s="183"/>
      <c r="Z1266" s="183"/>
      <c r="AA1266" s="183"/>
    </row>
    <row r="1267">
      <c r="A1267" s="183"/>
      <c r="B1267" s="183"/>
      <c r="C1267" s="183"/>
      <c r="D1267" s="183"/>
      <c r="E1267" s="219"/>
      <c r="F1267" s="219"/>
      <c r="G1267" s="183"/>
      <c r="H1267" s="183"/>
      <c r="I1267" s="183"/>
      <c r="J1267" s="183"/>
      <c r="K1267" s="183"/>
      <c r="L1267" s="183"/>
      <c r="M1267" s="183"/>
      <c r="N1267" s="183"/>
      <c r="O1267" s="183"/>
      <c r="P1267" s="183"/>
      <c r="Q1267" s="183"/>
      <c r="R1267" s="183"/>
      <c r="S1267" s="183"/>
      <c r="T1267" s="183"/>
      <c r="U1267" s="183"/>
      <c r="V1267" s="183"/>
      <c r="W1267" s="183"/>
      <c r="X1267" s="183"/>
      <c r="Y1267" s="183"/>
      <c r="Z1267" s="183"/>
      <c r="AA1267" s="183"/>
    </row>
    <row r="1268">
      <c r="A1268" s="183"/>
      <c r="B1268" s="183"/>
      <c r="C1268" s="183"/>
      <c r="D1268" s="183"/>
      <c r="E1268" s="219"/>
      <c r="F1268" s="219"/>
      <c r="G1268" s="183"/>
      <c r="H1268" s="183"/>
      <c r="I1268" s="183"/>
      <c r="J1268" s="183"/>
      <c r="K1268" s="183"/>
      <c r="L1268" s="183"/>
      <c r="M1268" s="183"/>
      <c r="N1268" s="183"/>
      <c r="O1268" s="183"/>
      <c r="P1268" s="183"/>
      <c r="Q1268" s="183"/>
      <c r="R1268" s="183"/>
      <c r="S1268" s="183"/>
      <c r="T1268" s="183"/>
      <c r="U1268" s="183"/>
      <c r="V1268" s="183"/>
      <c r="W1268" s="183"/>
      <c r="X1268" s="183"/>
      <c r="Y1268" s="183"/>
      <c r="Z1268" s="183"/>
      <c r="AA1268" s="183"/>
    </row>
    <row r="1269">
      <c r="A1269" s="183"/>
      <c r="B1269" s="183"/>
      <c r="C1269" s="183"/>
      <c r="D1269" s="183"/>
      <c r="E1269" s="219"/>
      <c r="F1269" s="219"/>
      <c r="G1269" s="183"/>
      <c r="H1269" s="183"/>
      <c r="I1269" s="183"/>
      <c r="J1269" s="183"/>
      <c r="K1269" s="183"/>
      <c r="L1269" s="183"/>
      <c r="M1269" s="183"/>
      <c r="N1269" s="183"/>
      <c r="O1269" s="183"/>
      <c r="P1269" s="183"/>
      <c r="Q1269" s="183"/>
      <c r="R1269" s="183"/>
      <c r="S1269" s="183"/>
      <c r="T1269" s="183"/>
      <c r="U1269" s="183"/>
      <c r="V1269" s="183"/>
      <c r="W1269" s="183"/>
      <c r="X1269" s="183"/>
      <c r="Y1269" s="183"/>
      <c r="Z1269" s="183"/>
      <c r="AA1269" s="183"/>
    </row>
    <row r="1270">
      <c r="A1270" s="183"/>
      <c r="B1270" s="183"/>
      <c r="C1270" s="183"/>
      <c r="D1270" s="183"/>
      <c r="E1270" s="219"/>
      <c r="F1270" s="219"/>
      <c r="G1270" s="183"/>
      <c r="H1270" s="183"/>
      <c r="I1270" s="183"/>
      <c r="J1270" s="183"/>
      <c r="K1270" s="183"/>
      <c r="L1270" s="183"/>
      <c r="M1270" s="183"/>
      <c r="N1270" s="183"/>
      <c r="O1270" s="183"/>
      <c r="P1270" s="183"/>
      <c r="Q1270" s="183"/>
      <c r="R1270" s="183"/>
      <c r="S1270" s="183"/>
      <c r="T1270" s="183"/>
      <c r="U1270" s="183"/>
      <c r="V1270" s="183"/>
      <c r="W1270" s="183"/>
      <c r="X1270" s="183"/>
      <c r="Y1270" s="183"/>
      <c r="Z1270" s="183"/>
      <c r="AA1270" s="183"/>
    </row>
    <row r="1271">
      <c r="A1271" s="183"/>
      <c r="B1271" s="183"/>
      <c r="C1271" s="183"/>
      <c r="D1271" s="183"/>
      <c r="E1271" s="219"/>
      <c r="F1271" s="219"/>
      <c r="G1271" s="183"/>
      <c r="H1271" s="183"/>
      <c r="I1271" s="183"/>
      <c r="J1271" s="183"/>
      <c r="K1271" s="183"/>
      <c r="L1271" s="183"/>
      <c r="M1271" s="183"/>
      <c r="N1271" s="183"/>
      <c r="O1271" s="183"/>
      <c r="P1271" s="183"/>
      <c r="Q1271" s="183"/>
      <c r="R1271" s="183"/>
      <c r="S1271" s="183"/>
      <c r="T1271" s="183"/>
      <c r="U1271" s="183"/>
      <c r="V1271" s="183"/>
      <c r="W1271" s="183"/>
      <c r="X1271" s="183"/>
      <c r="Y1271" s="183"/>
      <c r="Z1271" s="183"/>
      <c r="AA1271" s="183"/>
    </row>
    <row r="1272">
      <c r="A1272" s="183"/>
      <c r="B1272" s="183"/>
      <c r="C1272" s="183"/>
      <c r="D1272" s="183"/>
      <c r="E1272" s="219"/>
      <c r="F1272" s="219"/>
      <c r="G1272" s="183"/>
      <c r="H1272" s="183"/>
      <c r="I1272" s="183"/>
      <c r="J1272" s="183"/>
      <c r="K1272" s="183"/>
      <c r="L1272" s="183"/>
      <c r="M1272" s="183"/>
      <c r="N1272" s="183"/>
      <c r="O1272" s="183"/>
      <c r="P1272" s="183"/>
      <c r="Q1272" s="183"/>
      <c r="R1272" s="183"/>
      <c r="S1272" s="183"/>
      <c r="T1272" s="183"/>
      <c r="U1272" s="183"/>
      <c r="V1272" s="183"/>
      <c r="W1272" s="183"/>
      <c r="X1272" s="183"/>
      <c r="Y1272" s="183"/>
      <c r="Z1272" s="183"/>
      <c r="AA1272" s="183"/>
    </row>
    <row r="1273">
      <c r="A1273" s="183"/>
      <c r="B1273" s="183"/>
      <c r="C1273" s="183"/>
      <c r="D1273" s="183"/>
      <c r="E1273" s="219"/>
      <c r="F1273" s="219"/>
      <c r="G1273" s="183"/>
      <c r="H1273" s="183"/>
      <c r="I1273" s="183"/>
      <c r="J1273" s="183"/>
      <c r="K1273" s="183"/>
      <c r="L1273" s="183"/>
      <c r="M1273" s="183"/>
      <c r="N1273" s="183"/>
      <c r="O1273" s="183"/>
      <c r="P1273" s="183"/>
      <c r="Q1273" s="183"/>
      <c r="R1273" s="183"/>
      <c r="S1273" s="183"/>
      <c r="T1273" s="183"/>
      <c r="U1273" s="183"/>
      <c r="V1273" s="183"/>
      <c r="W1273" s="183"/>
      <c r="X1273" s="183"/>
      <c r="Y1273" s="183"/>
      <c r="Z1273" s="183"/>
      <c r="AA1273" s="183"/>
    </row>
    <row r="1274">
      <c r="A1274" s="183"/>
      <c r="B1274" s="183"/>
      <c r="C1274" s="183"/>
      <c r="D1274" s="183"/>
      <c r="E1274" s="219"/>
      <c r="F1274" s="219"/>
      <c r="G1274" s="183"/>
      <c r="H1274" s="183"/>
      <c r="I1274" s="183"/>
      <c r="J1274" s="183"/>
      <c r="K1274" s="183"/>
      <c r="L1274" s="183"/>
      <c r="M1274" s="183"/>
      <c r="N1274" s="183"/>
      <c r="O1274" s="183"/>
      <c r="P1274" s="183"/>
      <c r="Q1274" s="183"/>
      <c r="R1274" s="183"/>
      <c r="S1274" s="183"/>
      <c r="T1274" s="183"/>
      <c r="U1274" s="183"/>
      <c r="V1274" s="183"/>
      <c r="W1274" s="183"/>
      <c r="X1274" s="183"/>
      <c r="Y1274" s="183"/>
      <c r="Z1274" s="183"/>
      <c r="AA1274" s="183"/>
    </row>
    <row r="1275">
      <c r="A1275" s="183"/>
      <c r="B1275" s="183"/>
      <c r="C1275" s="183"/>
      <c r="D1275" s="183"/>
      <c r="E1275" s="219"/>
      <c r="F1275" s="219"/>
      <c r="G1275" s="183"/>
      <c r="H1275" s="183"/>
      <c r="I1275" s="183"/>
      <c r="J1275" s="183"/>
      <c r="K1275" s="183"/>
      <c r="L1275" s="183"/>
      <c r="M1275" s="183"/>
      <c r="N1275" s="183"/>
      <c r="O1275" s="183"/>
      <c r="P1275" s="183"/>
      <c r="Q1275" s="183"/>
      <c r="R1275" s="183"/>
      <c r="S1275" s="183"/>
      <c r="T1275" s="183"/>
      <c r="U1275" s="183"/>
      <c r="V1275" s="183"/>
      <c r="W1275" s="183"/>
      <c r="X1275" s="183"/>
      <c r="Y1275" s="183"/>
      <c r="Z1275" s="183"/>
      <c r="AA1275" s="183"/>
    </row>
    <row r="1276">
      <c r="A1276" s="183"/>
      <c r="B1276" s="183"/>
      <c r="C1276" s="183"/>
      <c r="D1276" s="183"/>
      <c r="E1276" s="219"/>
      <c r="F1276" s="219"/>
      <c r="G1276" s="183"/>
      <c r="H1276" s="183"/>
      <c r="I1276" s="183"/>
      <c r="J1276" s="183"/>
      <c r="K1276" s="183"/>
      <c r="L1276" s="183"/>
      <c r="M1276" s="183"/>
      <c r="N1276" s="183"/>
      <c r="O1276" s="183"/>
      <c r="P1276" s="183"/>
      <c r="Q1276" s="183"/>
      <c r="R1276" s="183"/>
      <c r="S1276" s="183"/>
      <c r="T1276" s="183"/>
      <c r="U1276" s="183"/>
      <c r="V1276" s="183"/>
      <c r="W1276" s="183"/>
      <c r="X1276" s="183"/>
      <c r="Y1276" s="183"/>
      <c r="Z1276" s="183"/>
      <c r="AA1276" s="183"/>
    </row>
    <row r="1277">
      <c r="A1277" s="183"/>
      <c r="B1277" s="183"/>
      <c r="C1277" s="183"/>
      <c r="D1277" s="183"/>
      <c r="E1277" s="219"/>
      <c r="F1277" s="219"/>
      <c r="G1277" s="183"/>
      <c r="H1277" s="183"/>
      <c r="I1277" s="183"/>
      <c r="J1277" s="183"/>
      <c r="K1277" s="183"/>
      <c r="L1277" s="183"/>
      <c r="M1277" s="183"/>
      <c r="N1277" s="183"/>
      <c r="O1277" s="183"/>
      <c r="P1277" s="183"/>
      <c r="Q1277" s="183"/>
      <c r="R1277" s="183"/>
      <c r="S1277" s="183"/>
      <c r="T1277" s="183"/>
      <c r="U1277" s="183"/>
      <c r="V1277" s="183"/>
      <c r="W1277" s="183"/>
      <c r="X1277" s="183"/>
      <c r="Y1277" s="183"/>
      <c r="Z1277" s="183"/>
      <c r="AA1277" s="183"/>
    </row>
    <row r="1278">
      <c r="A1278" s="183"/>
      <c r="B1278" s="183"/>
      <c r="C1278" s="183"/>
      <c r="D1278" s="183"/>
      <c r="E1278" s="219"/>
      <c r="F1278" s="219"/>
      <c r="G1278" s="183"/>
      <c r="H1278" s="183"/>
      <c r="I1278" s="183"/>
      <c r="J1278" s="183"/>
      <c r="K1278" s="183"/>
      <c r="L1278" s="183"/>
      <c r="M1278" s="183"/>
      <c r="N1278" s="183"/>
      <c r="O1278" s="183"/>
      <c r="P1278" s="183"/>
      <c r="Q1278" s="183"/>
      <c r="R1278" s="183"/>
      <c r="S1278" s="183"/>
      <c r="T1278" s="183"/>
      <c r="U1278" s="183"/>
      <c r="V1278" s="183"/>
      <c r="W1278" s="183"/>
      <c r="X1278" s="183"/>
      <c r="Y1278" s="183"/>
      <c r="Z1278" s="183"/>
      <c r="AA1278" s="183"/>
    </row>
    <row r="1279">
      <c r="A1279" s="183"/>
      <c r="B1279" s="183"/>
      <c r="C1279" s="183"/>
      <c r="D1279" s="183"/>
      <c r="E1279" s="219"/>
      <c r="F1279" s="219"/>
      <c r="G1279" s="183"/>
      <c r="H1279" s="183"/>
      <c r="I1279" s="183"/>
      <c r="J1279" s="183"/>
      <c r="K1279" s="183"/>
      <c r="L1279" s="183"/>
      <c r="M1279" s="183"/>
      <c r="N1279" s="183"/>
      <c r="O1279" s="183"/>
      <c r="P1279" s="183"/>
      <c r="Q1279" s="183"/>
      <c r="R1279" s="183"/>
      <c r="S1279" s="183"/>
      <c r="T1279" s="183"/>
      <c r="U1279" s="183"/>
      <c r="V1279" s="183"/>
      <c r="W1279" s="183"/>
      <c r="X1279" s="183"/>
      <c r="Y1279" s="183"/>
      <c r="Z1279" s="183"/>
      <c r="AA1279" s="183"/>
    </row>
    <row r="1280">
      <c r="A1280" s="183"/>
      <c r="B1280" s="183"/>
      <c r="C1280" s="183"/>
      <c r="D1280" s="183"/>
      <c r="E1280" s="219"/>
      <c r="F1280" s="219"/>
      <c r="G1280" s="183"/>
      <c r="H1280" s="183"/>
      <c r="I1280" s="183"/>
      <c r="J1280" s="183"/>
      <c r="K1280" s="183"/>
      <c r="L1280" s="183"/>
      <c r="M1280" s="183"/>
      <c r="N1280" s="183"/>
      <c r="O1280" s="183"/>
      <c r="P1280" s="183"/>
      <c r="Q1280" s="183"/>
      <c r="R1280" s="183"/>
      <c r="S1280" s="183"/>
      <c r="T1280" s="183"/>
      <c r="U1280" s="183"/>
      <c r="V1280" s="183"/>
      <c r="W1280" s="183"/>
      <c r="X1280" s="183"/>
      <c r="Y1280" s="183"/>
      <c r="Z1280" s="183"/>
      <c r="AA1280" s="183"/>
    </row>
    <row r="1281">
      <c r="A1281" s="183"/>
      <c r="B1281" s="183"/>
      <c r="C1281" s="183"/>
      <c r="D1281" s="183"/>
      <c r="E1281" s="219"/>
      <c r="F1281" s="219"/>
      <c r="G1281" s="183"/>
      <c r="H1281" s="183"/>
      <c r="I1281" s="183"/>
      <c r="J1281" s="183"/>
      <c r="K1281" s="183"/>
      <c r="L1281" s="183"/>
      <c r="M1281" s="183"/>
      <c r="N1281" s="183"/>
      <c r="O1281" s="183"/>
      <c r="P1281" s="183"/>
      <c r="Q1281" s="183"/>
      <c r="R1281" s="183"/>
      <c r="S1281" s="183"/>
      <c r="T1281" s="183"/>
      <c r="U1281" s="183"/>
      <c r="V1281" s="183"/>
      <c r="W1281" s="183"/>
      <c r="X1281" s="183"/>
      <c r="Y1281" s="183"/>
      <c r="Z1281" s="183"/>
      <c r="AA1281" s="183"/>
    </row>
    <row r="1282">
      <c r="A1282" s="183"/>
      <c r="B1282" s="183"/>
      <c r="C1282" s="183"/>
      <c r="D1282" s="183"/>
      <c r="E1282" s="219"/>
      <c r="F1282" s="219"/>
      <c r="G1282" s="183"/>
      <c r="H1282" s="183"/>
      <c r="I1282" s="183"/>
      <c r="J1282" s="183"/>
      <c r="K1282" s="183"/>
      <c r="L1282" s="183"/>
      <c r="M1282" s="183"/>
      <c r="N1282" s="183"/>
      <c r="O1282" s="183"/>
      <c r="P1282" s="183"/>
      <c r="Q1282" s="183"/>
      <c r="R1282" s="183"/>
      <c r="S1282" s="183"/>
      <c r="T1282" s="183"/>
      <c r="U1282" s="183"/>
      <c r="V1282" s="183"/>
      <c r="W1282" s="183"/>
      <c r="X1282" s="183"/>
      <c r="Y1282" s="183"/>
      <c r="Z1282" s="183"/>
      <c r="AA1282" s="183"/>
    </row>
    <row r="1283">
      <c r="A1283" s="183"/>
      <c r="B1283" s="183"/>
      <c r="C1283" s="183"/>
      <c r="D1283" s="183"/>
      <c r="E1283" s="219"/>
      <c r="F1283" s="219"/>
      <c r="G1283" s="183"/>
      <c r="H1283" s="183"/>
      <c r="I1283" s="183"/>
      <c r="J1283" s="183"/>
      <c r="K1283" s="183"/>
      <c r="L1283" s="183"/>
      <c r="M1283" s="183"/>
      <c r="N1283" s="183"/>
      <c r="O1283" s="183"/>
      <c r="P1283" s="183"/>
      <c r="Q1283" s="183"/>
      <c r="R1283" s="183"/>
      <c r="S1283" s="183"/>
      <c r="T1283" s="183"/>
      <c r="U1283" s="183"/>
      <c r="V1283" s="183"/>
      <c r="W1283" s="183"/>
      <c r="X1283" s="183"/>
      <c r="Y1283" s="183"/>
      <c r="Z1283" s="183"/>
      <c r="AA1283" s="183"/>
    </row>
    <row r="1284">
      <c r="A1284" s="183"/>
      <c r="B1284" s="183"/>
      <c r="C1284" s="183"/>
      <c r="D1284" s="183"/>
      <c r="E1284" s="219"/>
      <c r="F1284" s="219"/>
      <c r="G1284" s="183"/>
      <c r="H1284" s="183"/>
      <c r="I1284" s="183"/>
      <c r="J1284" s="183"/>
      <c r="K1284" s="183"/>
      <c r="L1284" s="183"/>
      <c r="M1284" s="183"/>
      <c r="N1284" s="183"/>
      <c r="O1284" s="183"/>
      <c r="P1284" s="183"/>
      <c r="Q1284" s="183"/>
      <c r="R1284" s="183"/>
      <c r="S1284" s="183"/>
      <c r="T1284" s="183"/>
      <c r="U1284" s="183"/>
      <c r="V1284" s="183"/>
      <c r="W1284" s="183"/>
      <c r="X1284" s="183"/>
      <c r="Y1284" s="183"/>
      <c r="Z1284" s="183"/>
      <c r="AA1284" s="183"/>
    </row>
    <row r="1285">
      <c r="A1285" s="183"/>
      <c r="B1285" s="183"/>
      <c r="C1285" s="183"/>
      <c r="D1285" s="183"/>
      <c r="E1285" s="219"/>
      <c r="F1285" s="219"/>
      <c r="G1285" s="183"/>
      <c r="H1285" s="183"/>
      <c r="I1285" s="183"/>
      <c r="J1285" s="183"/>
      <c r="K1285" s="183"/>
      <c r="L1285" s="183"/>
      <c r="M1285" s="183"/>
      <c r="N1285" s="183"/>
      <c r="O1285" s="183"/>
      <c r="P1285" s="183"/>
      <c r="Q1285" s="183"/>
      <c r="R1285" s="183"/>
      <c r="S1285" s="183"/>
      <c r="T1285" s="183"/>
      <c r="U1285" s="183"/>
      <c r="V1285" s="183"/>
      <c r="W1285" s="183"/>
      <c r="X1285" s="183"/>
      <c r="Y1285" s="183"/>
      <c r="Z1285" s="183"/>
      <c r="AA1285" s="183"/>
    </row>
    <row r="1286">
      <c r="A1286" s="183"/>
      <c r="B1286" s="183"/>
      <c r="C1286" s="183"/>
      <c r="D1286" s="183"/>
      <c r="E1286" s="219"/>
      <c r="F1286" s="219"/>
      <c r="G1286" s="183"/>
      <c r="H1286" s="183"/>
      <c r="I1286" s="183"/>
      <c r="J1286" s="183"/>
      <c r="K1286" s="183"/>
      <c r="L1286" s="183"/>
      <c r="M1286" s="183"/>
      <c r="N1286" s="183"/>
      <c r="O1286" s="183"/>
      <c r="P1286" s="183"/>
      <c r="Q1286" s="183"/>
      <c r="R1286" s="183"/>
      <c r="S1286" s="183"/>
      <c r="T1286" s="183"/>
      <c r="U1286" s="183"/>
      <c r="V1286" s="183"/>
      <c r="W1286" s="183"/>
      <c r="X1286" s="183"/>
      <c r="Y1286" s="183"/>
      <c r="Z1286" s="183"/>
      <c r="AA1286" s="183"/>
    </row>
    <row r="1287">
      <c r="A1287" s="183"/>
      <c r="B1287" s="183"/>
      <c r="C1287" s="183"/>
      <c r="D1287" s="183"/>
      <c r="E1287" s="219"/>
      <c r="F1287" s="219"/>
      <c r="G1287" s="183"/>
      <c r="H1287" s="183"/>
      <c r="I1287" s="183"/>
      <c r="J1287" s="183"/>
      <c r="K1287" s="183"/>
      <c r="L1287" s="183"/>
      <c r="M1287" s="183"/>
      <c r="N1287" s="183"/>
      <c r="O1287" s="183"/>
      <c r="P1287" s="183"/>
      <c r="Q1287" s="183"/>
      <c r="R1287" s="183"/>
      <c r="S1287" s="183"/>
      <c r="T1287" s="183"/>
      <c r="U1287" s="183"/>
      <c r="V1287" s="183"/>
      <c r="W1287" s="183"/>
      <c r="X1287" s="183"/>
      <c r="Y1287" s="183"/>
      <c r="Z1287" s="183"/>
      <c r="AA1287" s="183"/>
    </row>
    <row r="1288">
      <c r="A1288" s="183"/>
      <c r="B1288" s="183"/>
      <c r="C1288" s="183"/>
      <c r="D1288" s="183"/>
      <c r="E1288" s="219"/>
      <c r="F1288" s="219"/>
      <c r="G1288" s="183"/>
      <c r="H1288" s="183"/>
      <c r="I1288" s="183"/>
      <c r="J1288" s="183"/>
      <c r="K1288" s="183"/>
      <c r="L1288" s="183"/>
      <c r="M1288" s="183"/>
      <c r="N1288" s="183"/>
      <c r="O1288" s="183"/>
      <c r="P1288" s="183"/>
      <c r="Q1288" s="183"/>
      <c r="R1288" s="183"/>
      <c r="S1288" s="183"/>
      <c r="T1288" s="183"/>
      <c r="U1288" s="183"/>
      <c r="V1288" s="183"/>
      <c r="W1288" s="183"/>
      <c r="X1288" s="183"/>
      <c r="Y1288" s="183"/>
      <c r="Z1288" s="183"/>
      <c r="AA1288" s="183"/>
    </row>
    <row r="1289">
      <c r="A1289" s="183"/>
      <c r="B1289" s="183"/>
      <c r="C1289" s="183"/>
      <c r="D1289" s="183"/>
      <c r="E1289" s="219"/>
      <c r="F1289" s="219"/>
      <c r="G1289" s="183"/>
      <c r="H1289" s="183"/>
      <c r="I1289" s="183"/>
      <c r="J1289" s="183"/>
      <c r="K1289" s="183"/>
      <c r="L1289" s="183"/>
      <c r="M1289" s="183"/>
      <c r="N1289" s="183"/>
      <c r="O1289" s="183"/>
      <c r="P1289" s="183"/>
      <c r="Q1289" s="183"/>
      <c r="R1289" s="183"/>
      <c r="S1289" s="183"/>
      <c r="T1289" s="183"/>
      <c r="U1289" s="183"/>
      <c r="V1289" s="183"/>
      <c r="W1289" s="183"/>
      <c r="X1289" s="183"/>
      <c r="Y1289" s="183"/>
      <c r="Z1289" s="183"/>
      <c r="AA1289" s="183"/>
    </row>
    <row r="1290">
      <c r="A1290" s="183"/>
      <c r="B1290" s="183"/>
      <c r="C1290" s="183"/>
      <c r="D1290" s="183"/>
      <c r="E1290" s="219"/>
      <c r="F1290" s="219"/>
      <c r="G1290" s="183"/>
      <c r="H1290" s="183"/>
      <c r="I1290" s="183"/>
      <c r="J1290" s="183"/>
      <c r="K1290" s="183"/>
      <c r="L1290" s="183"/>
      <c r="M1290" s="183"/>
      <c r="N1290" s="183"/>
      <c r="O1290" s="183"/>
      <c r="P1290" s="183"/>
      <c r="Q1290" s="183"/>
      <c r="R1290" s="183"/>
      <c r="S1290" s="183"/>
      <c r="T1290" s="183"/>
      <c r="U1290" s="183"/>
      <c r="V1290" s="183"/>
      <c r="W1290" s="183"/>
      <c r="X1290" s="183"/>
      <c r="Y1290" s="183"/>
      <c r="Z1290" s="183"/>
      <c r="AA1290" s="183"/>
    </row>
    <row r="1291">
      <c r="A1291" s="183"/>
      <c r="B1291" s="183"/>
      <c r="C1291" s="183"/>
      <c r="D1291" s="183"/>
      <c r="E1291" s="219"/>
      <c r="F1291" s="219"/>
      <c r="G1291" s="183"/>
      <c r="H1291" s="183"/>
      <c r="I1291" s="183"/>
      <c r="J1291" s="183"/>
      <c r="K1291" s="183"/>
      <c r="L1291" s="183"/>
      <c r="M1291" s="183"/>
      <c r="N1291" s="183"/>
      <c r="O1291" s="183"/>
      <c r="P1291" s="183"/>
      <c r="Q1291" s="183"/>
      <c r="R1291" s="183"/>
      <c r="S1291" s="183"/>
      <c r="T1291" s="183"/>
      <c r="U1291" s="183"/>
      <c r="V1291" s="183"/>
      <c r="W1291" s="183"/>
      <c r="X1291" s="183"/>
      <c r="Y1291" s="183"/>
      <c r="Z1291" s="183"/>
      <c r="AA1291" s="183"/>
    </row>
    <row r="1292">
      <c r="A1292" s="183"/>
      <c r="B1292" s="183"/>
      <c r="C1292" s="183"/>
      <c r="D1292" s="183"/>
      <c r="E1292" s="219"/>
      <c r="F1292" s="219"/>
      <c r="G1292" s="183"/>
      <c r="H1292" s="183"/>
      <c r="I1292" s="183"/>
      <c r="J1292" s="183"/>
      <c r="K1292" s="183"/>
      <c r="L1292" s="183"/>
      <c r="M1292" s="183"/>
      <c r="N1292" s="183"/>
      <c r="O1292" s="183"/>
      <c r="P1292" s="183"/>
      <c r="Q1292" s="183"/>
      <c r="R1292" s="183"/>
      <c r="S1292" s="183"/>
      <c r="T1292" s="183"/>
      <c r="U1292" s="183"/>
      <c r="V1292" s="183"/>
      <c r="W1292" s="183"/>
      <c r="X1292" s="183"/>
      <c r="Y1292" s="183"/>
      <c r="Z1292" s="183"/>
      <c r="AA1292" s="183"/>
    </row>
    <row r="1293">
      <c r="A1293" s="183"/>
      <c r="B1293" s="183"/>
      <c r="C1293" s="183"/>
      <c r="D1293" s="183"/>
      <c r="E1293" s="219"/>
      <c r="F1293" s="219"/>
      <c r="G1293" s="183"/>
      <c r="H1293" s="183"/>
      <c r="I1293" s="183"/>
      <c r="J1293" s="183"/>
      <c r="K1293" s="183"/>
      <c r="L1293" s="183"/>
      <c r="M1293" s="183"/>
      <c r="N1293" s="183"/>
      <c r="O1293" s="183"/>
      <c r="P1293" s="183"/>
      <c r="Q1293" s="183"/>
      <c r="R1293" s="183"/>
      <c r="S1293" s="183"/>
      <c r="T1293" s="183"/>
      <c r="U1293" s="183"/>
      <c r="V1293" s="183"/>
      <c r="W1293" s="183"/>
      <c r="X1293" s="183"/>
      <c r="Y1293" s="183"/>
      <c r="Z1293" s="183"/>
      <c r="AA1293" s="183"/>
    </row>
    <row r="1294">
      <c r="A1294" s="183"/>
      <c r="B1294" s="183"/>
      <c r="C1294" s="183"/>
      <c r="D1294" s="183"/>
      <c r="E1294" s="219"/>
      <c r="F1294" s="219"/>
      <c r="G1294" s="183"/>
      <c r="H1294" s="183"/>
      <c r="I1294" s="183"/>
      <c r="J1294" s="183"/>
      <c r="K1294" s="183"/>
      <c r="L1294" s="183"/>
      <c r="M1294" s="183"/>
      <c r="N1294" s="183"/>
      <c r="O1294" s="183"/>
      <c r="P1294" s="183"/>
      <c r="Q1294" s="183"/>
      <c r="R1294" s="183"/>
      <c r="S1294" s="183"/>
      <c r="T1294" s="183"/>
      <c r="U1294" s="183"/>
      <c r="V1294" s="183"/>
      <c r="W1294" s="183"/>
      <c r="X1294" s="183"/>
      <c r="Y1294" s="183"/>
      <c r="Z1294" s="183"/>
      <c r="AA1294" s="183"/>
    </row>
    <row r="1295">
      <c r="A1295" s="183"/>
      <c r="B1295" s="183"/>
      <c r="C1295" s="183"/>
      <c r="D1295" s="183"/>
      <c r="E1295" s="219"/>
      <c r="F1295" s="219"/>
      <c r="G1295" s="183"/>
      <c r="H1295" s="183"/>
      <c r="I1295" s="183"/>
      <c r="J1295" s="183"/>
      <c r="K1295" s="183"/>
      <c r="L1295" s="183"/>
      <c r="M1295" s="183"/>
      <c r="N1295" s="183"/>
      <c r="O1295" s="183"/>
      <c r="P1295" s="183"/>
      <c r="Q1295" s="183"/>
      <c r="R1295" s="183"/>
      <c r="S1295" s="183"/>
      <c r="T1295" s="183"/>
      <c r="U1295" s="183"/>
      <c r="V1295" s="183"/>
      <c r="W1295" s="183"/>
      <c r="X1295" s="183"/>
      <c r="Y1295" s="183"/>
      <c r="Z1295" s="183"/>
      <c r="AA1295" s="183"/>
    </row>
    <row r="1296">
      <c r="A1296" s="183"/>
      <c r="B1296" s="183"/>
      <c r="C1296" s="183"/>
      <c r="D1296" s="183"/>
      <c r="E1296" s="219"/>
      <c r="F1296" s="219"/>
      <c r="G1296" s="183"/>
      <c r="H1296" s="183"/>
      <c r="I1296" s="183"/>
      <c r="J1296" s="183"/>
      <c r="K1296" s="183"/>
      <c r="L1296" s="183"/>
      <c r="M1296" s="183"/>
      <c r="N1296" s="183"/>
      <c r="O1296" s="183"/>
      <c r="P1296" s="183"/>
      <c r="Q1296" s="183"/>
      <c r="R1296" s="183"/>
      <c r="S1296" s="183"/>
      <c r="T1296" s="183"/>
      <c r="U1296" s="183"/>
      <c r="V1296" s="183"/>
      <c r="W1296" s="183"/>
      <c r="X1296" s="183"/>
      <c r="Y1296" s="183"/>
      <c r="Z1296" s="183"/>
      <c r="AA1296" s="183"/>
    </row>
    <row r="1297">
      <c r="A1297" s="183"/>
      <c r="B1297" s="183"/>
      <c r="C1297" s="183"/>
      <c r="D1297" s="183"/>
      <c r="E1297" s="219"/>
      <c r="F1297" s="219"/>
      <c r="G1297" s="183"/>
      <c r="H1297" s="183"/>
      <c r="I1297" s="183"/>
      <c r="J1297" s="183"/>
      <c r="K1297" s="183"/>
      <c r="L1297" s="183"/>
      <c r="M1297" s="183"/>
      <c r="N1297" s="183"/>
      <c r="O1297" s="183"/>
      <c r="P1297" s="183"/>
      <c r="Q1297" s="183"/>
      <c r="R1297" s="183"/>
      <c r="S1297" s="183"/>
      <c r="T1297" s="183"/>
      <c r="U1297" s="183"/>
      <c r="V1297" s="183"/>
      <c r="W1297" s="183"/>
      <c r="X1297" s="183"/>
      <c r="Y1297" s="183"/>
      <c r="Z1297" s="183"/>
      <c r="AA1297" s="183"/>
    </row>
    <row r="1298">
      <c r="A1298" s="183"/>
      <c r="B1298" s="183"/>
      <c r="C1298" s="183"/>
      <c r="D1298" s="183"/>
      <c r="E1298" s="219"/>
      <c r="F1298" s="219"/>
      <c r="G1298" s="183"/>
      <c r="H1298" s="183"/>
      <c r="I1298" s="183"/>
      <c r="J1298" s="183"/>
      <c r="K1298" s="183"/>
      <c r="L1298" s="183"/>
      <c r="M1298" s="183"/>
      <c r="N1298" s="183"/>
      <c r="O1298" s="183"/>
      <c r="P1298" s="183"/>
      <c r="Q1298" s="183"/>
      <c r="R1298" s="183"/>
      <c r="S1298" s="183"/>
      <c r="T1298" s="183"/>
      <c r="U1298" s="183"/>
      <c r="V1298" s="183"/>
      <c r="W1298" s="183"/>
      <c r="X1298" s="183"/>
      <c r="Y1298" s="183"/>
      <c r="Z1298" s="183"/>
      <c r="AA1298" s="183"/>
    </row>
    <row r="1299">
      <c r="A1299" s="183"/>
      <c r="B1299" s="183"/>
      <c r="C1299" s="183"/>
      <c r="D1299" s="183"/>
      <c r="E1299" s="219"/>
      <c r="F1299" s="219"/>
      <c r="G1299" s="183"/>
      <c r="H1299" s="183"/>
      <c r="I1299" s="183"/>
      <c r="J1299" s="183"/>
      <c r="K1299" s="183"/>
      <c r="L1299" s="183"/>
      <c r="M1299" s="183"/>
      <c r="N1299" s="183"/>
      <c r="O1299" s="183"/>
      <c r="P1299" s="183"/>
      <c r="Q1299" s="183"/>
      <c r="R1299" s="183"/>
      <c r="S1299" s="183"/>
      <c r="T1299" s="183"/>
      <c r="U1299" s="183"/>
      <c r="V1299" s="183"/>
      <c r="W1299" s="183"/>
      <c r="X1299" s="183"/>
      <c r="Y1299" s="183"/>
      <c r="Z1299" s="183"/>
      <c r="AA1299" s="183"/>
    </row>
    <row r="1300">
      <c r="A1300" s="183"/>
      <c r="B1300" s="183"/>
      <c r="C1300" s="183"/>
      <c r="D1300" s="183"/>
      <c r="E1300" s="219"/>
      <c r="F1300" s="219"/>
      <c r="G1300" s="183"/>
      <c r="H1300" s="183"/>
      <c r="I1300" s="183"/>
      <c r="J1300" s="183"/>
      <c r="K1300" s="183"/>
      <c r="L1300" s="183"/>
      <c r="M1300" s="183"/>
      <c r="N1300" s="183"/>
      <c r="O1300" s="183"/>
      <c r="P1300" s="183"/>
      <c r="Q1300" s="183"/>
      <c r="R1300" s="183"/>
      <c r="S1300" s="183"/>
      <c r="T1300" s="183"/>
      <c r="U1300" s="183"/>
      <c r="V1300" s="183"/>
      <c r="W1300" s="183"/>
      <c r="X1300" s="183"/>
      <c r="Y1300" s="183"/>
      <c r="Z1300" s="183"/>
      <c r="AA1300" s="183"/>
    </row>
    <row r="1301">
      <c r="A1301" s="183"/>
      <c r="B1301" s="183"/>
      <c r="C1301" s="183"/>
      <c r="D1301" s="183"/>
      <c r="E1301" s="219"/>
      <c r="F1301" s="219"/>
      <c r="G1301" s="183"/>
      <c r="H1301" s="183"/>
      <c r="I1301" s="183"/>
      <c r="J1301" s="183"/>
      <c r="K1301" s="183"/>
      <c r="L1301" s="183"/>
      <c r="M1301" s="183"/>
      <c r="N1301" s="183"/>
      <c r="O1301" s="183"/>
      <c r="P1301" s="183"/>
      <c r="Q1301" s="183"/>
      <c r="R1301" s="183"/>
      <c r="S1301" s="183"/>
      <c r="T1301" s="183"/>
      <c r="U1301" s="183"/>
      <c r="V1301" s="183"/>
      <c r="W1301" s="183"/>
      <c r="X1301" s="183"/>
      <c r="Y1301" s="183"/>
      <c r="Z1301" s="183"/>
      <c r="AA1301" s="183"/>
    </row>
    <row r="1302">
      <c r="A1302" s="183"/>
      <c r="B1302" s="183"/>
      <c r="C1302" s="183"/>
      <c r="D1302" s="183"/>
      <c r="E1302" s="219"/>
      <c r="F1302" s="219"/>
      <c r="G1302" s="183"/>
      <c r="H1302" s="183"/>
      <c r="I1302" s="183"/>
      <c r="J1302" s="183"/>
      <c r="K1302" s="183"/>
      <c r="L1302" s="183"/>
      <c r="M1302" s="183"/>
      <c r="N1302" s="183"/>
      <c r="O1302" s="183"/>
      <c r="P1302" s="183"/>
      <c r="Q1302" s="183"/>
      <c r="R1302" s="183"/>
      <c r="S1302" s="183"/>
      <c r="T1302" s="183"/>
      <c r="U1302" s="183"/>
      <c r="V1302" s="183"/>
      <c r="W1302" s="183"/>
      <c r="X1302" s="183"/>
      <c r="Y1302" s="183"/>
      <c r="Z1302" s="183"/>
      <c r="AA1302" s="183"/>
    </row>
    <row r="1303">
      <c r="A1303" s="183"/>
      <c r="B1303" s="183"/>
      <c r="C1303" s="183"/>
      <c r="D1303" s="183"/>
      <c r="E1303" s="219"/>
      <c r="F1303" s="219"/>
      <c r="G1303" s="183"/>
      <c r="H1303" s="183"/>
      <c r="I1303" s="183"/>
      <c r="J1303" s="183"/>
      <c r="K1303" s="183"/>
      <c r="L1303" s="183"/>
      <c r="M1303" s="183"/>
      <c r="N1303" s="183"/>
      <c r="O1303" s="183"/>
      <c r="P1303" s="183"/>
      <c r="Q1303" s="183"/>
      <c r="R1303" s="183"/>
      <c r="S1303" s="183"/>
      <c r="T1303" s="183"/>
      <c r="U1303" s="183"/>
      <c r="V1303" s="183"/>
      <c r="W1303" s="183"/>
      <c r="X1303" s="183"/>
      <c r="Y1303" s="183"/>
      <c r="Z1303" s="183"/>
      <c r="AA1303" s="183"/>
    </row>
    <row r="1304">
      <c r="A1304" s="183"/>
      <c r="B1304" s="183"/>
      <c r="C1304" s="183"/>
      <c r="D1304" s="183"/>
      <c r="E1304" s="219"/>
      <c r="F1304" s="219"/>
      <c r="G1304" s="183"/>
      <c r="H1304" s="183"/>
      <c r="I1304" s="183"/>
      <c r="J1304" s="183"/>
      <c r="K1304" s="183"/>
      <c r="L1304" s="183"/>
      <c r="M1304" s="183"/>
      <c r="N1304" s="183"/>
      <c r="O1304" s="183"/>
      <c r="P1304" s="183"/>
      <c r="Q1304" s="183"/>
      <c r="R1304" s="183"/>
      <c r="S1304" s="183"/>
      <c r="T1304" s="183"/>
      <c r="U1304" s="183"/>
      <c r="V1304" s="183"/>
      <c r="W1304" s="183"/>
      <c r="X1304" s="183"/>
      <c r="Y1304" s="183"/>
      <c r="Z1304" s="183"/>
      <c r="AA1304" s="183"/>
    </row>
    <row r="1305">
      <c r="A1305" s="183"/>
      <c r="B1305" s="183"/>
      <c r="C1305" s="183"/>
      <c r="D1305" s="183"/>
      <c r="E1305" s="219"/>
      <c r="F1305" s="219"/>
      <c r="G1305" s="183"/>
      <c r="H1305" s="183"/>
      <c r="I1305" s="183"/>
      <c r="J1305" s="183"/>
      <c r="K1305" s="183"/>
      <c r="L1305" s="183"/>
      <c r="M1305" s="183"/>
      <c r="N1305" s="183"/>
      <c r="O1305" s="183"/>
      <c r="P1305" s="183"/>
      <c r="Q1305" s="183"/>
      <c r="R1305" s="183"/>
      <c r="S1305" s="183"/>
      <c r="T1305" s="183"/>
      <c r="U1305" s="183"/>
      <c r="V1305" s="183"/>
      <c r="W1305" s="183"/>
      <c r="X1305" s="183"/>
      <c r="Y1305" s="183"/>
      <c r="Z1305" s="183"/>
      <c r="AA1305" s="183"/>
    </row>
    <row r="1306">
      <c r="A1306" s="183"/>
      <c r="B1306" s="183"/>
      <c r="C1306" s="183"/>
      <c r="D1306" s="183"/>
      <c r="E1306" s="219"/>
      <c r="F1306" s="219"/>
      <c r="G1306" s="183"/>
      <c r="H1306" s="183"/>
      <c r="I1306" s="183"/>
      <c r="J1306" s="183"/>
      <c r="K1306" s="183"/>
      <c r="L1306" s="183"/>
      <c r="M1306" s="183"/>
      <c r="N1306" s="183"/>
      <c r="O1306" s="183"/>
      <c r="P1306" s="183"/>
      <c r="Q1306" s="183"/>
      <c r="R1306" s="183"/>
      <c r="S1306" s="183"/>
      <c r="T1306" s="183"/>
      <c r="U1306" s="183"/>
      <c r="V1306" s="183"/>
      <c r="W1306" s="183"/>
      <c r="X1306" s="183"/>
      <c r="Y1306" s="183"/>
      <c r="Z1306" s="183"/>
      <c r="AA1306" s="183"/>
    </row>
    <row r="1307">
      <c r="A1307" s="183"/>
      <c r="B1307" s="183"/>
      <c r="C1307" s="183"/>
      <c r="D1307" s="183"/>
      <c r="E1307" s="219"/>
      <c r="F1307" s="219"/>
      <c r="G1307" s="183"/>
      <c r="H1307" s="183"/>
      <c r="I1307" s="183"/>
      <c r="J1307" s="183"/>
      <c r="K1307" s="183"/>
      <c r="L1307" s="183"/>
      <c r="M1307" s="183"/>
      <c r="N1307" s="183"/>
      <c r="O1307" s="183"/>
      <c r="P1307" s="183"/>
      <c r="Q1307" s="183"/>
      <c r="R1307" s="183"/>
      <c r="S1307" s="183"/>
      <c r="T1307" s="183"/>
      <c r="U1307" s="183"/>
      <c r="V1307" s="183"/>
      <c r="W1307" s="183"/>
      <c r="X1307" s="183"/>
      <c r="Y1307" s="183"/>
      <c r="Z1307" s="183"/>
      <c r="AA1307" s="183"/>
    </row>
    <row r="1308">
      <c r="A1308" s="183"/>
      <c r="B1308" s="183"/>
      <c r="C1308" s="183"/>
      <c r="D1308" s="183"/>
      <c r="E1308" s="219"/>
      <c r="F1308" s="219"/>
      <c r="G1308" s="183"/>
      <c r="H1308" s="183"/>
      <c r="I1308" s="183"/>
      <c r="J1308" s="183"/>
      <c r="K1308" s="183"/>
      <c r="L1308" s="183"/>
      <c r="M1308" s="183"/>
      <c r="N1308" s="183"/>
      <c r="O1308" s="183"/>
      <c r="P1308" s="183"/>
      <c r="Q1308" s="183"/>
      <c r="R1308" s="183"/>
      <c r="S1308" s="183"/>
      <c r="T1308" s="183"/>
      <c r="U1308" s="183"/>
      <c r="V1308" s="183"/>
      <c r="W1308" s="183"/>
      <c r="X1308" s="183"/>
      <c r="Y1308" s="183"/>
      <c r="Z1308" s="183"/>
      <c r="AA1308" s="183"/>
    </row>
    <row r="1309">
      <c r="A1309" s="183"/>
      <c r="B1309" s="183"/>
      <c r="C1309" s="183"/>
      <c r="D1309" s="183"/>
      <c r="E1309" s="219"/>
      <c r="F1309" s="219"/>
      <c r="G1309" s="183"/>
      <c r="H1309" s="183"/>
      <c r="I1309" s="183"/>
      <c r="J1309" s="183"/>
      <c r="K1309" s="183"/>
      <c r="L1309" s="183"/>
      <c r="M1309" s="183"/>
      <c r="N1309" s="183"/>
      <c r="O1309" s="183"/>
      <c r="P1309" s="183"/>
      <c r="Q1309" s="183"/>
      <c r="R1309" s="183"/>
      <c r="S1309" s="183"/>
      <c r="T1309" s="183"/>
      <c r="U1309" s="183"/>
      <c r="V1309" s="183"/>
      <c r="W1309" s="183"/>
      <c r="X1309" s="183"/>
      <c r="Y1309" s="183"/>
      <c r="Z1309" s="183"/>
      <c r="AA1309" s="183"/>
    </row>
    <row r="1310">
      <c r="A1310" s="183"/>
      <c r="B1310" s="183"/>
      <c r="C1310" s="183"/>
      <c r="D1310" s="183"/>
      <c r="E1310" s="219"/>
      <c r="F1310" s="219"/>
      <c r="G1310" s="183"/>
      <c r="H1310" s="183"/>
      <c r="I1310" s="183"/>
      <c r="J1310" s="183"/>
      <c r="K1310" s="183"/>
      <c r="L1310" s="183"/>
      <c r="M1310" s="183"/>
      <c r="N1310" s="183"/>
      <c r="O1310" s="183"/>
      <c r="P1310" s="183"/>
      <c r="Q1310" s="183"/>
      <c r="R1310" s="183"/>
      <c r="S1310" s="183"/>
      <c r="T1310" s="183"/>
      <c r="U1310" s="183"/>
      <c r="V1310" s="183"/>
      <c r="W1310" s="183"/>
      <c r="X1310" s="183"/>
      <c r="Y1310" s="183"/>
      <c r="Z1310" s="183"/>
      <c r="AA1310" s="183"/>
    </row>
    <row r="1311">
      <c r="A1311" s="183"/>
      <c r="B1311" s="183"/>
      <c r="C1311" s="183"/>
      <c r="D1311" s="183"/>
      <c r="E1311" s="219"/>
      <c r="F1311" s="219"/>
      <c r="G1311" s="183"/>
      <c r="H1311" s="183"/>
      <c r="I1311" s="183"/>
      <c r="J1311" s="183"/>
      <c r="K1311" s="183"/>
      <c r="L1311" s="183"/>
      <c r="M1311" s="183"/>
      <c r="N1311" s="183"/>
      <c r="O1311" s="183"/>
      <c r="P1311" s="183"/>
      <c r="Q1311" s="183"/>
      <c r="R1311" s="183"/>
      <c r="S1311" s="183"/>
      <c r="T1311" s="183"/>
      <c r="U1311" s="183"/>
      <c r="V1311" s="183"/>
      <c r="W1311" s="183"/>
      <c r="X1311" s="183"/>
      <c r="Y1311" s="183"/>
      <c r="Z1311" s="183"/>
      <c r="AA1311" s="183"/>
    </row>
    <row r="1312">
      <c r="A1312" s="183"/>
      <c r="B1312" s="183"/>
      <c r="C1312" s="183"/>
      <c r="D1312" s="183"/>
      <c r="E1312" s="219"/>
      <c r="F1312" s="219"/>
      <c r="G1312" s="183"/>
      <c r="H1312" s="183"/>
      <c r="I1312" s="183"/>
      <c r="J1312" s="183"/>
      <c r="K1312" s="183"/>
      <c r="L1312" s="183"/>
      <c r="M1312" s="183"/>
      <c r="N1312" s="183"/>
      <c r="O1312" s="183"/>
      <c r="P1312" s="183"/>
      <c r="Q1312" s="183"/>
      <c r="R1312" s="183"/>
      <c r="S1312" s="183"/>
      <c r="T1312" s="183"/>
      <c r="U1312" s="183"/>
      <c r="V1312" s="183"/>
      <c r="W1312" s="183"/>
      <c r="X1312" s="183"/>
      <c r="Y1312" s="183"/>
      <c r="Z1312" s="183"/>
      <c r="AA1312" s="183"/>
    </row>
    <row r="1313">
      <c r="A1313" s="183"/>
      <c r="B1313" s="183"/>
      <c r="C1313" s="183"/>
      <c r="D1313" s="183"/>
      <c r="E1313" s="219"/>
      <c r="F1313" s="219"/>
      <c r="G1313" s="183"/>
      <c r="H1313" s="183"/>
      <c r="I1313" s="183"/>
      <c r="J1313" s="183"/>
      <c r="K1313" s="183"/>
      <c r="L1313" s="183"/>
      <c r="M1313" s="183"/>
      <c r="N1313" s="183"/>
      <c r="O1313" s="183"/>
      <c r="P1313" s="183"/>
      <c r="Q1313" s="183"/>
      <c r="R1313" s="183"/>
      <c r="S1313" s="183"/>
      <c r="T1313" s="183"/>
      <c r="U1313" s="183"/>
      <c r="V1313" s="183"/>
      <c r="W1313" s="183"/>
      <c r="X1313" s="183"/>
      <c r="Y1313" s="183"/>
      <c r="Z1313" s="183"/>
      <c r="AA1313" s="183"/>
    </row>
    <row r="1314">
      <c r="A1314" s="183"/>
      <c r="B1314" s="183"/>
      <c r="C1314" s="183"/>
      <c r="D1314" s="183"/>
      <c r="E1314" s="219"/>
      <c r="F1314" s="219"/>
      <c r="G1314" s="183"/>
      <c r="H1314" s="183"/>
      <c r="I1314" s="183"/>
      <c r="J1314" s="183"/>
      <c r="K1314" s="183"/>
      <c r="L1314" s="183"/>
      <c r="M1314" s="183"/>
      <c r="N1314" s="183"/>
      <c r="O1314" s="183"/>
      <c r="P1314" s="183"/>
      <c r="Q1314" s="183"/>
      <c r="R1314" s="183"/>
      <c r="S1314" s="183"/>
      <c r="T1314" s="183"/>
      <c r="U1314" s="183"/>
      <c r="V1314" s="183"/>
      <c r="W1314" s="183"/>
      <c r="X1314" s="183"/>
      <c r="Y1314" s="183"/>
      <c r="Z1314" s="183"/>
      <c r="AA1314" s="183"/>
    </row>
    <row r="1315">
      <c r="A1315" s="183"/>
      <c r="B1315" s="183"/>
      <c r="C1315" s="183"/>
      <c r="D1315" s="183"/>
      <c r="E1315" s="219"/>
      <c r="F1315" s="219"/>
      <c r="G1315" s="183"/>
      <c r="H1315" s="183"/>
      <c r="I1315" s="183"/>
      <c r="J1315" s="183"/>
      <c r="K1315" s="183"/>
      <c r="L1315" s="183"/>
      <c r="M1315" s="183"/>
      <c r="N1315" s="183"/>
      <c r="O1315" s="183"/>
      <c r="P1315" s="183"/>
      <c r="Q1315" s="183"/>
      <c r="R1315" s="183"/>
      <c r="S1315" s="183"/>
      <c r="T1315" s="183"/>
      <c r="U1315" s="183"/>
      <c r="V1315" s="183"/>
      <c r="W1315" s="183"/>
      <c r="X1315" s="183"/>
      <c r="Y1315" s="183"/>
      <c r="Z1315" s="183"/>
      <c r="AA1315" s="183"/>
    </row>
    <row r="1316">
      <c r="A1316" s="183"/>
      <c r="B1316" s="183"/>
      <c r="C1316" s="183"/>
      <c r="D1316" s="183"/>
      <c r="E1316" s="219"/>
      <c r="F1316" s="219"/>
      <c r="G1316" s="183"/>
      <c r="H1316" s="183"/>
      <c r="I1316" s="183"/>
      <c r="J1316" s="183"/>
      <c r="K1316" s="183"/>
      <c r="L1316" s="183"/>
      <c r="M1316" s="183"/>
      <c r="N1316" s="183"/>
      <c r="O1316" s="183"/>
      <c r="P1316" s="183"/>
      <c r="Q1316" s="183"/>
      <c r="R1316" s="183"/>
      <c r="S1316" s="183"/>
      <c r="T1316" s="183"/>
      <c r="U1316" s="183"/>
      <c r="V1316" s="183"/>
      <c r="W1316" s="183"/>
      <c r="X1316" s="183"/>
      <c r="Y1316" s="183"/>
      <c r="Z1316" s="183"/>
      <c r="AA1316" s="183"/>
    </row>
    <row r="1317">
      <c r="A1317" s="183"/>
      <c r="B1317" s="183"/>
      <c r="C1317" s="183"/>
      <c r="D1317" s="183"/>
      <c r="E1317" s="219"/>
      <c r="F1317" s="219"/>
      <c r="G1317" s="183"/>
      <c r="H1317" s="183"/>
      <c r="I1317" s="183"/>
      <c r="J1317" s="183"/>
      <c r="K1317" s="183"/>
      <c r="L1317" s="183"/>
      <c r="M1317" s="183"/>
      <c r="N1317" s="183"/>
      <c r="O1317" s="183"/>
      <c r="P1317" s="183"/>
      <c r="Q1317" s="183"/>
      <c r="R1317" s="183"/>
      <c r="S1317" s="183"/>
      <c r="T1317" s="183"/>
      <c r="U1317" s="183"/>
      <c r="V1317" s="183"/>
      <c r="W1317" s="183"/>
      <c r="X1317" s="183"/>
      <c r="Y1317" s="183"/>
      <c r="Z1317" s="183"/>
      <c r="AA1317" s="183"/>
    </row>
    <row r="1318">
      <c r="A1318" s="183"/>
      <c r="B1318" s="183"/>
      <c r="C1318" s="183"/>
      <c r="D1318" s="183"/>
      <c r="E1318" s="219"/>
      <c r="F1318" s="219"/>
      <c r="G1318" s="183"/>
      <c r="H1318" s="183"/>
      <c r="I1318" s="183"/>
      <c r="J1318" s="183"/>
      <c r="K1318" s="183"/>
      <c r="L1318" s="183"/>
      <c r="M1318" s="183"/>
      <c r="N1318" s="183"/>
      <c r="O1318" s="183"/>
      <c r="P1318" s="183"/>
      <c r="Q1318" s="183"/>
      <c r="R1318" s="183"/>
      <c r="S1318" s="183"/>
      <c r="T1318" s="183"/>
      <c r="U1318" s="183"/>
      <c r="V1318" s="183"/>
      <c r="W1318" s="183"/>
      <c r="X1318" s="183"/>
      <c r="Y1318" s="183"/>
      <c r="Z1318" s="183"/>
      <c r="AA1318" s="183"/>
    </row>
    <row r="1319">
      <c r="A1319" s="183"/>
      <c r="B1319" s="183"/>
      <c r="C1319" s="183"/>
      <c r="D1319" s="183"/>
      <c r="E1319" s="219"/>
      <c r="F1319" s="219"/>
      <c r="G1319" s="183"/>
      <c r="H1319" s="183"/>
      <c r="I1319" s="183"/>
      <c r="J1319" s="183"/>
      <c r="K1319" s="183"/>
      <c r="L1319" s="183"/>
      <c r="M1319" s="183"/>
      <c r="N1319" s="183"/>
      <c r="O1319" s="183"/>
      <c r="P1319" s="183"/>
      <c r="Q1319" s="183"/>
      <c r="R1319" s="183"/>
      <c r="S1319" s="183"/>
      <c r="T1319" s="183"/>
      <c r="U1319" s="183"/>
      <c r="V1319" s="183"/>
      <c r="W1319" s="183"/>
      <c r="X1319" s="183"/>
      <c r="Y1319" s="183"/>
      <c r="Z1319" s="183"/>
      <c r="AA1319" s="183"/>
    </row>
    <row r="1320">
      <c r="A1320" s="183"/>
      <c r="B1320" s="183"/>
      <c r="C1320" s="183"/>
      <c r="D1320" s="183"/>
      <c r="E1320" s="219"/>
      <c r="F1320" s="219"/>
      <c r="G1320" s="183"/>
      <c r="H1320" s="183"/>
      <c r="I1320" s="183"/>
      <c r="J1320" s="183"/>
      <c r="K1320" s="183"/>
      <c r="L1320" s="183"/>
      <c r="M1320" s="183"/>
      <c r="N1320" s="183"/>
      <c r="O1320" s="183"/>
      <c r="P1320" s="183"/>
      <c r="Q1320" s="183"/>
      <c r="R1320" s="183"/>
      <c r="S1320" s="183"/>
      <c r="T1320" s="183"/>
      <c r="U1320" s="183"/>
      <c r="V1320" s="183"/>
      <c r="W1320" s="183"/>
      <c r="X1320" s="183"/>
      <c r="Y1320" s="183"/>
      <c r="Z1320" s="183"/>
      <c r="AA1320" s="183"/>
    </row>
    <row r="1321">
      <c r="A1321" s="183"/>
      <c r="B1321" s="183"/>
      <c r="C1321" s="183"/>
      <c r="D1321" s="183"/>
      <c r="E1321" s="219"/>
      <c r="F1321" s="219"/>
      <c r="G1321" s="183"/>
      <c r="H1321" s="183"/>
      <c r="I1321" s="183"/>
      <c r="J1321" s="183"/>
      <c r="K1321" s="183"/>
      <c r="L1321" s="183"/>
      <c r="M1321" s="183"/>
      <c r="N1321" s="183"/>
      <c r="O1321" s="183"/>
      <c r="P1321" s="183"/>
      <c r="Q1321" s="183"/>
      <c r="R1321" s="183"/>
      <c r="S1321" s="183"/>
      <c r="T1321" s="183"/>
      <c r="U1321" s="183"/>
      <c r="V1321" s="183"/>
      <c r="W1321" s="183"/>
      <c r="X1321" s="183"/>
      <c r="Y1321" s="183"/>
      <c r="Z1321" s="183"/>
      <c r="AA1321" s="183"/>
    </row>
    <row r="1322">
      <c r="A1322" s="183"/>
      <c r="B1322" s="183"/>
      <c r="C1322" s="183"/>
      <c r="D1322" s="183"/>
      <c r="E1322" s="219"/>
      <c r="F1322" s="219"/>
      <c r="G1322" s="183"/>
      <c r="H1322" s="183"/>
      <c r="I1322" s="183"/>
      <c r="J1322" s="183"/>
      <c r="K1322" s="183"/>
      <c r="L1322" s="183"/>
      <c r="M1322" s="183"/>
      <c r="N1322" s="183"/>
      <c r="O1322" s="183"/>
      <c r="P1322" s="183"/>
      <c r="Q1322" s="183"/>
      <c r="R1322" s="183"/>
      <c r="S1322" s="183"/>
      <c r="T1322" s="183"/>
      <c r="U1322" s="183"/>
      <c r="V1322" s="183"/>
      <c r="W1322" s="183"/>
      <c r="X1322" s="183"/>
      <c r="Y1322" s="183"/>
      <c r="Z1322" s="183"/>
      <c r="AA1322" s="183"/>
    </row>
    <row r="1323">
      <c r="A1323" s="183"/>
      <c r="B1323" s="183"/>
      <c r="C1323" s="183"/>
      <c r="D1323" s="183"/>
      <c r="E1323" s="219"/>
      <c r="F1323" s="219"/>
      <c r="G1323" s="183"/>
      <c r="H1323" s="183"/>
      <c r="I1323" s="183"/>
      <c r="J1323" s="183"/>
      <c r="K1323" s="183"/>
      <c r="L1323" s="183"/>
      <c r="M1323" s="183"/>
      <c r="N1323" s="183"/>
      <c r="O1323" s="183"/>
      <c r="P1323" s="183"/>
      <c r="Q1323" s="183"/>
      <c r="R1323" s="183"/>
      <c r="S1323" s="183"/>
      <c r="T1323" s="183"/>
      <c r="U1323" s="183"/>
      <c r="V1323" s="183"/>
      <c r="W1323" s="183"/>
      <c r="X1323" s="183"/>
      <c r="Y1323" s="183"/>
      <c r="Z1323" s="183"/>
      <c r="AA1323" s="183"/>
    </row>
    <row r="1324">
      <c r="A1324" s="183"/>
      <c r="B1324" s="183"/>
      <c r="C1324" s="183"/>
      <c r="D1324" s="183"/>
      <c r="E1324" s="219"/>
      <c r="F1324" s="219"/>
      <c r="G1324" s="183"/>
      <c r="H1324" s="183"/>
      <c r="I1324" s="183"/>
      <c r="J1324" s="183"/>
      <c r="K1324" s="183"/>
      <c r="L1324" s="183"/>
      <c r="M1324" s="183"/>
      <c r="N1324" s="183"/>
      <c r="O1324" s="183"/>
      <c r="P1324" s="183"/>
      <c r="Q1324" s="183"/>
      <c r="R1324" s="183"/>
      <c r="S1324" s="183"/>
      <c r="T1324" s="183"/>
      <c r="U1324" s="183"/>
      <c r="V1324" s="183"/>
      <c r="W1324" s="183"/>
      <c r="X1324" s="183"/>
      <c r="Y1324" s="183"/>
      <c r="Z1324" s="183"/>
      <c r="AA1324" s="183"/>
    </row>
    <row r="1325">
      <c r="A1325" s="183"/>
      <c r="B1325" s="183"/>
      <c r="C1325" s="183"/>
      <c r="D1325" s="183"/>
      <c r="E1325" s="219"/>
      <c r="F1325" s="219"/>
      <c r="G1325" s="183"/>
      <c r="H1325" s="183"/>
      <c r="I1325" s="183"/>
      <c r="J1325" s="183"/>
      <c r="K1325" s="183"/>
      <c r="L1325" s="183"/>
      <c r="M1325" s="183"/>
      <c r="N1325" s="183"/>
      <c r="O1325" s="183"/>
      <c r="P1325" s="183"/>
      <c r="Q1325" s="183"/>
      <c r="R1325" s="183"/>
      <c r="S1325" s="183"/>
      <c r="T1325" s="183"/>
      <c r="U1325" s="183"/>
      <c r="V1325" s="183"/>
      <c r="W1325" s="183"/>
      <c r="X1325" s="183"/>
      <c r="Y1325" s="183"/>
      <c r="Z1325" s="183"/>
      <c r="AA1325" s="183"/>
    </row>
    <row r="1326">
      <c r="A1326" s="183"/>
      <c r="B1326" s="183"/>
      <c r="C1326" s="183"/>
      <c r="D1326" s="183"/>
      <c r="E1326" s="219"/>
      <c r="F1326" s="219"/>
      <c r="G1326" s="183"/>
      <c r="H1326" s="183"/>
      <c r="I1326" s="183"/>
      <c r="J1326" s="183"/>
      <c r="K1326" s="183"/>
      <c r="L1326" s="183"/>
      <c r="M1326" s="183"/>
      <c r="N1326" s="183"/>
      <c r="O1326" s="183"/>
      <c r="P1326" s="183"/>
      <c r="Q1326" s="183"/>
      <c r="R1326" s="183"/>
      <c r="S1326" s="183"/>
      <c r="T1326" s="183"/>
      <c r="U1326" s="183"/>
      <c r="V1326" s="183"/>
      <c r="W1326" s="183"/>
      <c r="X1326" s="183"/>
      <c r="Y1326" s="183"/>
      <c r="Z1326" s="183"/>
      <c r="AA1326" s="183"/>
    </row>
    <row r="1327">
      <c r="A1327" s="183"/>
      <c r="B1327" s="183"/>
      <c r="C1327" s="183"/>
      <c r="D1327" s="183"/>
      <c r="E1327" s="219"/>
      <c r="F1327" s="219"/>
      <c r="G1327" s="183"/>
      <c r="H1327" s="183"/>
      <c r="I1327" s="183"/>
      <c r="J1327" s="183"/>
      <c r="K1327" s="183"/>
      <c r="L1327" s="183"/>
      <c r="M1327" s="183"/>
      <c r="N1327" s="183"/>
      <c r="O1327" s="183"/>
      <c r="P1327" s="183"/>
      <c r="Q1327" s="183"/>
      <c r="R1327" s="183"/>
      <c r="S1327" s="183"/>
      <c r="T1327" s="183"/>
      <c r="U1327" s="183"/>
      <c r="V1327" s="183"/>
      <c r="W1327" s="183"/>
      <c r="X1327" s="183"/>
      <c r="Y1327" s="183"/>
      <c r="Z1327" s="183"/>
      <c r="AA1327" s="183"/>
    </row>
    <row r="1328">
      <c r="A1328" s="183"/>
      <c r="B1328" s="183"/>
      <c r="C1328" s="183"/>
      <c r="D1328" s="183"/>
      <c r="E1328" s="219"/>
      <c r="F1328" s="219"/>
      <c r="G1328" s="183"/>
      <c r="H1328" s="183"/>
      <c r="I1328" s="183"/>
      <c r="J1328" s="183"/>
      <c r="K1328" s="183"/>
      <c r="L1328" s="183"/>
      <c r="M1328" s="183"/>
      <c r="N1328" s="183"/>
      <c r="O1328" s="183"/>
      <c r="P1328" s="183"/>
      <c r="Q1328" s="183"/>
      <c r="R1328" s="183"/>
      <c r="S1328" s="183"/>
      <c r="T1328" s="183"/>
      <c r="U1328" s="183"/>
      <c r="V1328" s="183"/>
      <c r="W1328" s="183"/>
      <c r="X1328" s="183"/>
      <c r="Y1328" s="183"/>
      <c r="Z1328" s="183"/>
      <c r="AA1328" s="183"/>
    </row>
    <row r="1329">
      <c r="A1329" s="183"/>
      <c r="B1329" s="183"/>
      <c r="C1329" s="183"/>
      <c r="D1329" s="183"/>
      <c r="E1329" s="219"/>
      <c r="F1329" s="219"/>
      <c r="G1329" s="183"/>
      <c r="H1329" s="183"/>
      <c r="I1329" s="183"/>
      <c r="J1329" s="183"/>
      <c r="K1329" s="183"/>
      <c r="L1329" s="183"/>
      <c r="M1329" s="183"/>
      <c r="N1329" s="183"/>
      <c r="O1329" s="183"/>
      <c r="P1329" s="183"/>
      <c r="Q1329" s="183"/>
      <c r="R1329" s="183"/>
      <c r="S1329" s="183"/>
      <c r="T1329" s="183"/>
      <c r="U1329" s="183"/>
      <c r="V1329" s="183"/>
      <c r="W1329" s="183"/>
      <c r="X1329" s="183"/>
      <c r="Y1329" s="183"/>
      <c r="Z1329" s="183"/>
      <c r="AA1329" s="183"/>
    </row>
    <row r="1330">
      <c r="A1330" s="183"/>
      <c r="B1330" s="183"/>
      <c r="C1330" s="183"/>
      <c r="D1330" s="183"/>
      <c r="E1330" s="219"/>
      <c r="F1330" s="219"/>
      <c r="G1330" s="183"/>
      <c r="H1330" s="183"/>
      <c r="I1330" s="183"/>
      <c r="J1330" s="183"/>
      <c r="K1330" s="183"/>
      <c r="L1330" s="183"/>
      <c r="M1330" s="183"/>
      <c r="N1330" s="183"/>
      <c r="O1330" s="183"/>
      <c r="P1330" s="183"/>
      <c r="Q1330" s="183"/>
      <c r="R1330" s="183"/>
      <c r="S1330" s="183"/>
      <c r="T1330" s="183"/>
      <c r="U1330" s="183"/>
      <c r="V1330" s="183"/>
      <c r="W1330" s="183"/>
      <c r="X1330" s="183"/>
      <c r="Y1330" s="183"/>
      <c r="Z1330" s="183"/>
      <c r="AA1330" s="183"/>
    </row>
    <row r="1331">
      <c r="A1331" s="183"/>
      <c r="B1331" s="183"/>
      <c r="C1331" s="183"/>
      <c r="D1331" s="183"/>
      <c r="E1331" s="219"/>
      <c r="F1331" s="219"/>
      <c r="G1331" s="183"/>
      <c r="H1331" s="183"/>
      <c r="I1331" s="183"/>
      <c r="J1331" s="183"/>
      <c r="K1331" s="183"/>
      <c r="L1331" s="183"/>
      <c r="M1331" s="183"/>
      <c r="N1331" s="183"/>
      <c r="O1331" s="183"/>
      <c r="P1331" s="183"/>
      <c r="Q1331" s="183"/>
      <c r="R1331" s="183"/>
      <c r="S1331" s="183"/>
      <c r="T1331" s="183"/>
      <c r="U1331" s="183"/>
      <c r="V1331" s="183"/>
      <c r="W1331" s="183"/>
      <c r="X1331" s="183"/>
      <c r="Y1331" s="183"/>
      <c r="Z1331" s="183"/>
      <c r="AA1331" s="183"/>
    </row>
    <row r="1332">
      <c r="A1332" s="183"/>
      <c r="B1332" s="183"/>
      <c r="C1332" s="183"/>
      <c r="D1332" s="183"/>
      <c r="E1332" s="219"/>
      <c r="F1332" s="219"/>
      <c r="G1332" s="183"/>
      <c r="H1332" s="183"/>
      <c r="I1332" s="183"/>
      <c r="J1332" s="183"/>
      <c r="K1332" s="183"/>
      <c r="L1332" s="183"/>
      <c r="M1332" s="183"/>
      <c r="N1332" s="183"/>
      <c r="O1332" s="183"/>
      <c r="P1332" s="183"/>
      <c r="Q1332" s="183"/>
      <c r="R1332" s="183"/>
      <c r="S1332" s="183"/>
      <c r="T1332" s="183"/>
      <c r="U1332" s="183"/>
      <c r="V1332" s="183"/>
      <c r="W1332" s="183"/>
      <c r="X1332" s="183"/>
      <c r="Y1332" s="183"/>
      <c r="Z1332" s="183"/>
      <c r="AA1332" s="183"/>
    </row>
    <row r="1333">
      <c r="A1333" s="183"/>
      <c r="B1333" s="183"/>
      <c r="C1333" s="183"/>
      <c r="D1333" s="183"/>
      <c r="E1333" s="219"/>
      <c r="F1333" s="219"/>
      <c r="G1333" s="183"/>
      <c r="H1333" s="183"/>
      <c r="I1333" s="183"/>
      <c r="J1333" s="183"/>
      <c r="K1333" s="183"/>
      <c r="L1333" s="183"/>
      <c r="M1333" s="183"/>
      <c r="N1333" s="183"/>
      <c r="O1333" s="183"/>
      <c r="P1333" s="183"/>
      <c r="Q1333" s="183"/>
      <c r="R1333" s="183"/>
      <c r="S1333" s="183"/>
      <c r="T1333" s="183"/>
      <c r="U1333" s="183"/>
      <c r="V1333" s="183"/>
      <c r="W1333" s="183"/>
      <c r="X1333" s="183"/>
      <c r="Y1333" s="183"/>
      <c r="Z1333" s="183"/>
      <c r="AA1333" s="183"/>
    </row>
    <row r="1334">
      <c r="A1334" s="183"/>
      <c r="B1334" s="183"/>
      <c r="C1334" s="183"/>
      <c r="D1334" s="183"/>
      <c r="E1334" s="219"/>
      <c r="F1334" s="219"/>
      <c r="G1334" s="183"/>
      <c r="H1334" s="183"/>
      <c r="I1334" s="183"/>
      <c r="J1334" s="183"/>
      <c r="K1334" s="183"/>
      <c r="L1334" s="183"/>
      <c r="M1334" s="183"/>
      <c r="N1334" s="183"/>
      <c r="O1334" s="183"/>
      <c r="P1334" s="183"/>
      <c r="Q1334" s="183"/>
      <c r="R1334" s="183"/>
      <c r="S1334" s="183"/>
      <c r="T1334" s="183"/>
      <c r="U1334" s="183"/>
      <c r="V1334" s="183"/>
      <c r="W1334" s="183"/>
      <c r="X1334" s="183"/>
      <c r="Y1334" s="183"/>
      <c r="Z1334" s="183"/>
      <c r="AA1334" s="183"/>
    </row>
    <row r="1335">
      <c r="A1335" s="183"/>
      <c r="B1335" s="183"/>
      <c r="C1335" s="183"/>
      <c r="D1335" s="183"/>
      <c r="E1335" s="219"/>
      <c r="F1335" s="219"/>
      <c r="G1335" s="183"/>
      <c r="H1335" s="183"/>
      <c r="I1335" s="183"/>
      <c r="J1335" s="183"/>
      <c r="K1335" s="183"/>
      <c r="L1335" s="183"/>
      <c r="M1335" s="183"/>
      <c r="N1335" s="183"/>
      <c r="O1335" s="183"/>
      <c r="P1335" s="183"/>
      <c r="Q1335" s="183"/>
      <c r="R1335" s="183"/>
      <c r="S1335" s="183"/>
      <c r="T1335" s="183"/>
      <c r="U1335" s="183"/>
      <c r="V1335" s="183"/>
      <c r="W1335" s="183"/>
      <c r="X1335" s="183"/>
      <c r="Y1335" s="183"/>
      <c r="Z1335" s="183"/>
      <c r="AA1335" s="183"/>
    </row>
    <row r="1336">
      <c r="A1336" s="183"/>
      <c r="B1336" s="183"/>
      <c r="C1336" s="183"/>
      <c r="D1336" s="183"/>
      <c r="E1336" s="219"/>
      <c r="F1336" s="219"/>
      <c r="G1336" s="183"/>
      <c r="H1336" s="183"/>
      <c r="I1336" s="183"/>
      <c r="J1336" s="183"/>
      <c r="K1336" s="183"/>
      <c r="L1336" s="183"/>
      <c r="M1336" s="183"/>
      <c r="N1336" s="183"/>
      <c r="O1336" s="183"/>
      <c r="P1336" s="183"/>
      <c r="Q1336" s="183"/>
      <c r="R1336" s="183"/>
      <c r="S1336" s="183"/>
      <c r="T1336" s="183"/>
      <c r="U1336" s="183"/>
      <c r="V1336" s="183"/>
      <c r="W1336" s="183"/>
      <c r="X1336" s="183"/>
      <c r="Y1336" s="183"/>
      <c r="Z1336" s="183"/>
      <c r="AA1336" s="183"/>
    </row>
    <row r="1337">
      <c r="A1337" s="183"/>
      <c r="B1337" s="183"/>
      <c r="C1337" s="183"/>
      <c r="D1337" s="183"/>
      <c r="E1337" s="219"/>
      <c r="F1337" s="219"/>
      <c r="G1337" s="183"/>
      <c r="H1337" s="183"/>
      <c r="I1337" s="183"/>
      <c r="J1337" s="183"/>
      <c r="K1337" s="183"/>
      <c r="L1337" s="183"/>
      <c r="M1337" s="183"/>
      <c r="N1337" s="183"/>
      <c r="O1337" s="183"/>
      <c r="P1337" s="183"/>
      <c r="Q1337" s="183"/>
      <c r="R1337" s="183"/>
      <c r="S1337" s="183"/>
      <c r="T1337" s="183"/>
      <c r="U1337" s="183"/>
      <c r="V1337" s="183"/>
      <c r="W1337" s="183"/>
      <c r="X1337" s="183"/>
      <c r="Y1337" s="183"/>
      <c r="Z1337" s="183"/>
      <c r="AA1337" s="183"/>
    </row>
    <row r="1338">
      <c r="A1338" s="183"/>
      <c r="B1338" s="183"/>
      <c r="C1338" s="183"/>
      <c r="D1338" s="183"/>
      <c r="E1338" s="219"/>
      <c r="F1338" s="219"/>
      <c r="G1338" s="183"/>
      <c r="H1338" s="183"/>
      <c r="I1338" s="183"/>
      <c r="J1338" s="183"/>
      <c r="K1338" s="183"/>
      <c r="L1338" s="183"/>
      <c r="M1338" s="183"/>
      <c r="N1338" s="183"/>
      <c r="O1338" s="183"/>
      <c r="P1338" s="183"/>
      <c r="Q1338" s="183"/>
      <c r="R1338" s="183"/>
      <c r="S1338" s="183"/>
      <c r="T1338" s="183"/>
      <c r="U1338" s="183"/>
      <c r="V1338" s="183"/>
      <c r="W1338" s="183"/>
      <c r="X1338" s="183"/>
      <c r="Y1338" s="183"/>
      <c r="Z1338" s="183"/>
      <c r="AA1338" s="183"/>
    </row>
    <row r="1339">
      <c r="A1339" s="183"/>
      <c r="B1339" s="183"/>
      <c r="C1339" s="183"/>
      <c r="D1339" s="183"/>
      <c r="E1339" s="219"/>
      <c r="F1339" s="219"/>
      <c r="G1339" s="183"/>
      <c r="H1339" s="183"/>
      <c r="I1339" s="183"/>
      <c r="J1339" s="183"/>
      <c r="K1339" s="183"/>
      <c r="L1339" s="183"/>
      <c r="M1339" s="183"/>
      <c r="N1339" s="183"/>
      <c r="O1339" s="183"/>
      <c r="P1339" s="183"/>
      <c r="Q1339" s="183"/>
      <c r="R1339" s="183"/>
      <c r="S1339" s="183"/>
      <c r="T1339" s="183"/>
      <c r="U1339" s="183"/>
      <c r="V1339" s="183"/>
      <c r="W1339" s="183"/>
      <c r="X1339" s="183"/>
      <c r="Y1339" s="183"/>
      <c r="Z1339" s="183"/>
      <c r="AA1339" s="183"/>
    </row>
    <row r="1340">
      <c r="A1340" s="183"/>
      <c r="B1340" s="183"/>
      <c r="C1340" s="183"/>
      <c r="D1340" s="183"/>
      <c r="E1340" s="219"/>
      <c r="F1340" s="219"/>
      <c r="G1340" s="183"/>
      <c r="H1340" s="183"/>
      <c r="I1340" s="183"/>
      <c r="J1340" s="183"/>
      <c r="K1340" s="183"/>
      <c r="L1340" s="183"/>
      <c r="M1340" s="183"/>
      <c r="N1340" s="183"/>
      <c r="O1340" s="183"/>
      <c r="P1340" s="183"/>
      <c r="Q1340" s="183"/>
      <c r="R1340" s="183"/>
      <c r="S1340" s="183"/>
      <c r="T1340" s="183"/>
      <c r="U1340" s="183"/>
      <c r="V1340" s="183"/>
      <c r="W1340" s="183"/>
      <c r="X1340" s="183"/>
      <c r="Y1340" s="183"/>
      <c r="Z1340" s="183"/>
      <c r="AA1340" s="183"/>
    </row>
    <row r="1341">
      <c r="A1341" s="183"/>
      <c r="B1341" s="183"/>
      <c r="C1341" s="183"/>
      <c r="D1341" s="183"/>
      <c r="E1341" s="219"/>
      <c r="F1341" s="219"/>
      <c r="G1341" s="183"/>
      <c r="H1341" s="183"/>
      <c r="I1341" s="183"/>
      <c r="J1341" s="183"/>
      <c r="K1341" s="183"/>
      <c r="L1341" s="183"/>
      <c r="M1341" s="183"/>
      <c r="N1341" s="183"/>
      <c r="O1341" s="183"/>
      <c r="P1341" s="183"/>
      <c r="Q1341" s="183"/>
      <c r="R1341" s="183"/>
      <c r="S1341" s="183"/>
      <c r="T1341" s="183"/>
      <c r="U1341" s="183"/>
      <c r="V1341" s="183"/>
      <c r="W1341" s="183"/>
      <c r="X1341" s="183"/>
      <c r="Y1341" s="183"/>
      <c r="Z1341" s="183"/>
      <c r="AA1341" s="183"/>
    </row>
    <row r="1342">
      <c r="A1342" s="183"/>
      <c r="B1342" s="183"/>
      <c r="C1342" s="183"/>
      <c r="D1342" s="183"/>
      <c r="E1342" s="219"/>
      <c r="F1342" s="219"/>
      <c r="G1342" s="183"/>
      <c r="H1342" s="183"/>
      <c r="I1342" s="183"/>
      <c r="J1342" s="183"/>
      <c r="K1342" s="183"/>
      <c r="L1342" s="183"/>
      <c r="M1342" s="183"/>
      <c r="N1342" s="183"/>
      <c r="O1342" s="183"/>
      <c r="P1342" s="183"/>
      <c r="Q1342" s="183"/>
      <c r="R1342" s="183"/>
      <c r="S1342" s="183"/>
      <c r="T1342" s="183"/>
      <c r="U1342" s="183"/>
      <c r="V1342" s="183"/>
      <c r="W1342" s="183"/>
      <c r="X1342" s="183"/>
      <c r="Y1342" s="183"/>
      <c r="Z1342" s="183"/>
      <c r="AA1342" s="183"/>
    </row>
    <row r="1343">
      <c r="A1343" s="183"/>
      <c r="B1343" s="183"/>
      <c r="C1343" s="183"/>
      <c r="D1343" s="183"/>
      <c r="E1343" s="219"/>
      <c r="F1343" s="219"/>
      <c r="G1343" s="183"/>
      <c r="H1343" s="183"/>
      <c r="I1343" s="183"/>
      <c r="J1343" s="183"/>
      <c r="K1343" s="183"/>
      <c r="L1343" s="183"/>
      <c r="M1343" s="183"/>
      <c r="N1343" s="183"/>
      <c r="O1343" s="183"/>
      <c r="P1343" s="183"/>
      <c r="Q1343" s="183"/>
      <c r="R1343" s="183"/>
      <c r="S1343" s="183"/>
      <c r="T1343" s="183"/>
      <c r="U1343" s="183"/>
      <c r="V1343" s="183"/>
      <c r="W1343" s="183"/>
      <c r="X1343" s="183"/>
      <c r="Y1343" s="183"/>
      <c r="Z1343" s="183"/>
      <c r="AA1343" s="183"/>
    </row>
    <row r="1344">
      <c r="A1344" s="183"/>
      <c r="B1344" s="183"/>
      <c r="C1344" s="183"/>
      <c r="D1344" s="183"/>
      <c r="E1344" s="219"/>
      <c r="F1344" s="219"/>
      <c r="G1344" s="183"/>
      <c r="H1344" s="183"/>
      <c r="I1344" s="183"/>
      <c r="J1344" s="183"/>
      <c r="K1344" s="183"/>
      <c r="L1344" s="183"/>
      <c r="M1344" s="183"/>
      <c r="N1344" s="183"/>
      <c r="O1344" s="183"/>
      <c r="P1344" s="183"/>
      <c r="Q1344" s="183"/>
      <c r="R1344" s="183"/>
      <c r="S1344" s="183"/>
      <c r="T1344" s="183"/>
      <c r="U1344" s="183"/>
      <c r="V1344" s="183"/>
      <c r="W1344" s="183"/>
      <c r="X1344" s="183"/>
      <c r="Y1344" s="183"/>
      <c r="Z1344" s="183"/>
      <c r="AA1344" s="183"/>
    </row>
    <row r="1345">
      <c r="A1345" s="183"/>
      <c r="B1345" s="183"/>
      <c r="C1345" s="183"/>
      <c r="D1345" s="183"/>
      <c r="E1345" s="219"/>
      <c r="F1345" s="219"/>
      <c r="G1345" s="183"/>
      <c r="H1345" s="183"/>
      <c r="I1345" s="183"/>
      <c r="J1345" s="183"/>
      <c r="K1345" s="183"/>
      <c r="L1345" s="183"/>
      <c r="M1345" s="183"/>
      <c r="N1345" s="183"/>
      <c r="O1345" s="183"/>
      <c r="P1345" s="183"/>
      <c r="Q1345" s="183"/>
      <c r="R1345" s="183"/>
      <c r="S1345" s="183"/>
      <c r="T1345" s="183"/>
      <c r="U1345" s="183"/>
      <c r="V1345" s="183"/>
      <c r="W1345" s="183"/>
      <c r="X1345" s="183"/>
      <c r="Y1345" s="183"/>
      <c r="Z1345" s="183"/>
      <c r="AA1345" s="183"/>
    </row>
    <row r="1346">
      <c r="A1346" s="183"/>
      <c r="B1346" s="183"/>
      <c r="C1346" s="183"/>
      <c r="D1346" s="183"/>
      <c r="E1346" s="219"/>
      <c r="F1346" s="219"/>
      <c r="G1346" s="183"/>
      <c r="H1346" s="183"/>
      <c r="I1346" s="183"/>
      <c r="J1346" s="183"/>
      <c r="K1346" s="183"/>
      <c r="L1346" s="183"/>
      <c r="M1346" s="183"/>
      <c r="N1346" s="183"/>
      <c r="O1346" s="183"/>
      <c r="P1346" s="183"/>
      <c r="Q1346" s="183"/>
      <c r="R1346" s="183"/>
      <c r="S1346" s="183"/>
      <c r="T1346" s="183"/>
      <c r="U1346" s="183"/>
      <c r="V1346" s="183"/>
      <c r="W1346" s="183"/>
      <c r="X1346" s="183"/>
      <c r="Y1346" s="183"/>
      <c r="Z1346" s="183"/>
      <c r="AA1346" s="183"/>
    </row>
    <row r="1347">
      <c r="A1347" s="183"/>
      <c r="B1347" s="183"/>
      <c r="C1347" s="183"/>
      <c r="D1347" s="183"/>
      <c r="E1347" s="219"/>
      <c r="F1347" s="219"/>
      <c r="G1347" s="183"/>
      <c r="H1347" s="183"/>
      <c r="I1347" s="183"/>
      <c r="J1347" s="183"/>
      <c r="K1347" s="183"/>
      <c r="L1347" s="183"/>
      <c r="M1347" s="183"/>
      <c r="N1347" s="183"/>
      <c r="O1347" s="183"/>
      <c r="P1347" s="183"/>
      <c r="Q1347" s="183"/>
      <c r="R1347" s="183"/>
      <c r="S1347" s="183"/>
      <c r="T1347" s="183"/>
      <c r="U1347" s="183"/>
      <c r="V1347" s="183"/>
      <c r="W1347" s="183"/>
      <c r="X1347" s="183"/>
      <c r="Y1347" s="183"/>
      <c r="Z1347" s="183"/>
      <c r="AA1347" s="183"/>
    </row>
    <row r="1348">
      <c r="A1348" s="183"/>
      <c r="B1348" s="183"/>
      <c r="C1348" s="183"/>
      <c r="D1348" s="183"/>
      <c r="E1348" s="219"/>
      <c r="F1348" s="219"/>
      <c r="G1348" s="183"/>
      <c r="H1348" s="183"/>
      <c r="I1348" s="183"/>
      <c r="J1348" s="183"/>
      <c r="K1348" s="183"/>
      <c r="L1348" s="183"/>
      <c r="M1348" s="183"/>
      <c r="N1348" s="183"/>
      <c r="O1348" s="183"/>
      <c r="P1348" s="183"/>
      <c r="Q1348" s="183"/>
      <c r="R1348" s="183"/>
      <c r="S1348" s="183"/>
      <c r="T1348" s="183"/>
      <c r="U1348" s="183"/>
      <c r="V1348" s="183"/>
      <c r="W1348" s="183"/>
      <c r="X1348" s="183"/>
      <c r="Y1348" s="183"/>
      <c r="Z1348" s="183"/>
      <c r="AA1348" s="183"/>
    </row>
    <row r="1349">
      <c r="A1349" s="183"/>
      <c r="B1349" s="183"/>
      <c r="C1349" s="183"/>
      <c r="D1349" s="183"/>
      <c r="E1349" s="219"/>
      <c r="F1349" s="219"/>
      <c r="G1349" s="183"/>
      <c r="H1349" s="183"/>
      <c r="I1349" s="183"/>
      <c r="J1349" s="183"/>
      <c r="K1349" s="183"/>
      <c r="L1349" s="183"/>
      <c r="M1349" s="183"/>
      <c r="N1349" s="183"/>
      <c r="O1349" s="183"/>
      <c r="P1349" s="183"/>
      <c r="Q1349" s="183"/>
      <c r="R1349" s="183"/>
      <c r="S1349" s="183"/>
      <c r="T1349" s="183"/>
      <c r="U1349" s="183"/>
      <c r="V1349" s="183"/>
      <c r="W1349" s="183"/>
      <c r="X1349" s="183"/>
      <c r="Y1349" s="183"/>
      <c r="Z1349" s="183"/>
      <c r="AA1349" s="183"/>
    </row>
    <row r="1350">
      <c r="A1350" s="183"/>
      <c r="B1350" s="183"/>
      <c r="C1350" s="183"/>
      <c r="D1350" s="183"/>
      <c r="E1350" s="219"/>
      <c r="F1350" s="219"/>
      <c r="G1350" s="183"/>
      <c r="H1350" s="183"/>
      <c r="I1350" s="183"/>
      <c r="J1350" s="183"/>
      <c r="K1350" s="183"/>
      <c r="L1350" s="183"/>
      <c r="M1350" s="183"/>
      <c r="N1350" s="183"/>
      <c r="O1350" s="183"/>
      <c r="P1350" s="183"/>
      <c r="Q1350" s="183"/>
      <c r="R1350" s="183"/>
      <c r="S1350" s="183"/>
      <c r="T1350" s="183"/>
      <c r="U1350" s="183"/>
      <c r="V1350" s="183"/>
      <c r="W1350" s="183"/>
      <c r="X1350" s="183"/>
      <c r="Y1350" s="183"/>
      <c r="Z1350" s="183"/>
      <c r="AA1350" s="183"/>
    </row>
    <row r="1351">
      <c r="A1351" s="183"/>
      <c r="B1351" s="183"/>
      <c r="C1351" s="183"/>
      <c r="D1351" s="183"/>
      <c r="E1351" s="219"/>
      <c r="F1351" s="219"/>
      <c r="G1351" s="183"/>
      <c r="H1351" s="183"/>
      <c r="I1351" s="183"/>
      <c r="J1351" s="183"/>
      <c r="K1351" s="183"/>
      <c r="L1351" s="183"/>
      <c r="M1351" s="183"/>
      <c r="N1351" s="183"/>
      <c r="O1351" s="183"/>
      <c r="P1351" s="183"/>
      <c r="Q1351" s="183"/>
      <c r="R1351" s="183"/>
      <c r="S1351" s="183"/>
      <c r="T1351" s="183"/>
      <c r="U1351" s="183"/>
      <c r="V1351" s="183"/>
      <c r="W1351" s="183"/>
      <c r="X1351" s="183"/>
      <c r="Y1351" s="183"/>
      <c r="Z1351" s="183"/>
      <c r="AA1351" s="183"/>
    </row>
    <row r="1352">
      <c r="A1352" s="183"/>
      <c r="B1352" s="183"/>
      <c r="C1352" s="183"/>
      <c r="D1352" s="183"/>
      <c r="E1352" s="219"/>
      <c r="F1352" s="219"/>
      <c r="G1352" s="183"/>
      <c r="H1352" s="183"/>
      <c r="I1352" s="183"/>
      <c r="J1352" s="183"/>
      <c r="K1352" s="183"/>
      <c r="L1352" s="183"/>
      <c r="M1352" s="183"/>
      <c r="N1352" s="183"/>
      <c r="O1352" s="183"/>
      <c r="P1352" s="183"/>
      <c r="Q1352" s="183"/>
      <c r="R1352" s="183"/>
      <c r="S1352" s="183"/>
      <c r="T1352" s="183"/>
      <c r="U1352" s="183"/>
      <c r="V1352" s="183"/>
      <c r="W1352" s="183"/>
      <c r="X1352" s="183"/>
      <c r="Y1352" s="183"/>
      <c r="Z1352" s="183"/>
      <c r="AA1352" s="183"/>
    </row>
    <row r="1353">
      <c r="A1353" s="183"/>
      <c r="B1353" s="183"/>
      <c r="C1353" s="183"/>
      <c r="D1353" s="183"/>
      <c r="E1353" s="219"/>
      <c r="F1353" s="219"/>
      <c r="G1353" s="183"/>
      <c r="H1353" s="183"/>
      <c r="I1353" s="183"/>
      <c r="J1353" s="183"/>
      <c r="K1353" s="183"/>
      <c r="L1353" s="183"/>
      <c r="M1353" s="183"/>
      <c r="N1353" s="183"/>
      <c r="O1353" s="183"/>
      <c r="P1353" s="183"/>
      <c r="Q1353" s="183"/>
      <c r="R1353" s="183"/>
      <c r="S1353" s="183"/>
      <c r="T1353" s="183"/>
      <c r="U1353" s="183"/>
      <c r="V1353" s="183"/>
      <c r="W1353" s="183"/>
      <c r="X1353" s="183"/>
      <c r="Y1353" s="183"/>
      <c r="Z1353" s="183"/>
      <c r="AA1353" s="183"/>
    </row>
    <row r="1354">
      <c r="A1354" s="183"/>
      <c r="B1354" s="183"/>
      <c r="C1354" s="183"/>
      <c r="D1354" s="183"/>
      <c r="E1354" s="219"/>
      <c r="F1354" s="219"/>
      <c r="G1354" s="183"/>
      <c r="H1354" s="183"/>
      <c r="I1354" s="183"/>
      <c r="J1354" s="183"/>
      <c r="K1354" s="183"/>
      <c r="L1354" s="183"/>
      <c r="M1354" s="183"/>
      <c r="N1354" s="183"/>
      <c r="O1354" s="183"/>
      <c r="P1354" s="183"/>
      <c r="Q1354" s="183"/>
      <c r="R1354" s="183"/>
      <c r="S1354" s="183"/>
      <c r="T1354" s="183"/>
      <c r="U1354" s="183"/>
      <c r="V1354" s="183"/>
      <c r="W1354" s="183"/>
      <c r="X1354" s="183"/>
      <c r="Y1354" s="183"/>
      <c r="Z1354" s="183"/>
      <c r="AA1354" s="183"/>
    </row>
    <row r="1355">
      <c r="A1355" s="183"/>
      <c r="B1355" s="183"/>
      <c r="C1355" s="183"/>
      <c r="D1355" s="183"/>
      <c r="E1355" s="219"/>
      <c r="F1355" s="219"/>
      <c r="G1355" s="183"/>
      <c r="H1355" s="183"/>
      <c r="I1355" s="183"/>
      <c r="J1355" s="183"/>
      <c r="K1355" s="183"/>
      <c r="L1355" s="183"/>
      <c r="M1355" s="183"/>
      <c r="N1355" s="183"/>
      <c r="O1355" s="183"/>
      <c r="P1355" s="183"/>
      <c r="Q1355" s="183"/>
      <c r="R1355" s="183"/>
      <c r="S1355" s="183"/>
      <c r="T1355" s="183"/>
      <c r="U1355" s="183"/>
      <c r="V1355" s="183"/>
      <c r="W1355" s="183"/>
      <c r="X1355" s="183"/>
      <c r="Y1355" s="183"/>
      <c r="Z1355" s="183"/>
      <c r="AA1355" s="183"/>
    </row>
    <row r="1356">
      <c r="A1356" s="183"/>
      <c r="B1356" s="183"/>
      <c r="C1356" s="183"/>
      <c r="D1356" s="183"/>
      <c r="E1356" s="219"/>
      <c r="F1356" s="219"/>
      <c r="G1356" s="183"/>
      <c r="H1356" s="183"/>
      <c r="I1356" s="183"/>
      <c r="J1356" s="183"/>
      <c r="K1356" s="183"/>
      <c r="L1356" s="183"/>
      <c r="M1356" s="183"/>
      <c r="N1356" s="183"/>
      <c r="O1356" s="183"/>
      <c r="P1356" s="183"/>
      <c r="Q1356" s="183"/>
      <c r="R1356" s="183"/>
      <c r="S1356" s="183"/>
      <c r="T1356" s="183"/>
      <c r="U1356" s="183"/>
      <c r="V1356" s="183"/>
      <c r="W1356" s="183"/>
      <c r="X1356" s="183"/>
      <c r="Y1356" s="183"/>
      <c r="Z1356" s="183"/>
      <c r="AA1356" s="183"/>
    </row>
    <row r="1357">
      <c r="A1357" s="183"/>
      <c r="B1357" s="183"/>
      <c r="C1357" s="183"/>
      <c r="D1357" s="183"/>
      <c r="E1357" s="219"/>
      <c r="F1357" s="219"/>
      <c r="G1357" s="183"/>
      <c r="H1357" s="183"/>
      <c r="I1357" s="183"/>
      <c r="J1357" s="183"/>
      <c r="K1357" s="183"/>
      <c r="L1357" s="183"/>
      <c r="M1357" s="183"/>
      <c r="N1357" s="183"/>
      <c r="O1357" s="183"/>
      <c r="P1357" s="183"/>
      <c r="Q1357" s="183"/>
      <c r="R1357" s="183"/>
      <c r="S1357" s="183"/>
      <c r="T1357" s="183"/>
      <c r="U1357" s="183"/>
      <c r="V1357" s="183"/>
      <c r="W1357" s="183"/>
      <c r="X1357" s="183"/>
      <c r="Y1357" s="183"/>
      <c r="Z1357" s="183"/>
      <c r="AA1357" s="183"/>
    </row>
    <row r="1358">
      <c r="A1358" s="183"/>
      <c r="B1358" s="183"/>
      <c r="C1358" s="183"/>
      <c r="D1358" s="183"/>
      <c r="E1358" s="219"/>
      <c r="F1358" s="219"/>
      <c r="G1358" s="183"/>
      <c r="H1358" s="183"/>
      <c r="I1358" s="183"/>
      <c r="J1358" s="183"/>
      <c r="K1358" s="183"/>
      <c r="L1358" s="183"/>
      <c r="M1358" s="183"/>
      <c r="N1358" s="183"/>
      <c r="O1358" s="183"/>
      <c r="P1358" s="183"/>
      <c r="Q1358" s="183"/>
      <c r="R1358" s="183"/>
      <c r="S1358" s="183"/>
      <c r="T1358" s="183"/>
      <c r="U1358" s="183"/>
      <c r="V1358" s="183"/>
      <c r="W1358" s="183"/>
      <c r="X1358" s="183"/>
      <c r="Y1358" s="183"/>
      <c r="Z1358" s="183"/>
      <c r="AA1358" s="183"/>
    </row>
    <row r="1359">
      <c r="A1359" s="183"/>
      <c r="B1359" s="183"/>
      <c r="C1359" s="183"/>
      <c r="D1359" s="183"/>
      <c r="E1359" s="219"/>
      <c r="F1359" s="219"/>
      <c r="G1359" s="183"/>
      <c r="H1359" s="183"/>
      <c r="I1359" s="183"/>
      <c r="J1359" s="183"/>
      <c r="K1359" s="183"/>
      <c r="L1359" s="183"/>
      <c r="M1359" s="183"/>
      <c r="N1359" s="183"/>
      <c r="O1359" s="183"/>
      <c r="P1359" s="183"/>
      <c r="Q1359" s="183"/>
      <c r="R1359" s="183"/>
      <c r="S1359" s="183"/>
      <c r="T1359" s="183"/>
      <c r="U1359" s="183"/>
      <c r="V1359" s="183"/>
      <c r="W1359" s="183"/>
      <c r="X1359" s="183"/>
      <c r="Y1359" s="183"/>
      <c r="Z1359" s="183"/>
      <c r="AA1359" s="183"/>
    </row>
    <row r="1360">
      <c r="A1360" s="183"/>
      <c r="B1360" s="183"/>
      <c r="C1360" s="183"/>
      <c r="D1360" s="183"/>
      <c r="E1360" s="219"/>
      <c r="F1360" s="219"/>
      <c r="G1360" s="183"/>
      <c r="H1360" s="183"/>
      <c r="I1360" s="183"/>
      <c r="J1360" s="183"/>
      <c r="K1360" s="183"/>
      <c r="L1360" s="183"/>
      <c r="M1360" s="183"/>
      <c r="N1360" s="183"/>
      <c r="O1360" s="183"/>
      <c r="P1360" s="183"/>
      <c r="Q1360" s="183"/>
      <c r="R1360" s="183"/>
      <c r="S1360" s="183"/>
      <c r="T1360" s="183"/>
      <c r="U1360" s="183"/>
      <c r="V1360" s="183"/>
      <c r="W1360" s="183"/>
      <c r="X1360" s="183"/>
      <c r="Y1360" s="183"/>
      <c r="Z1360" s="183"/>
      <c r="AA1360" s="183"/>
    </row>
    <row r="1361">
      <c r="A1361" s="183"/>
      <c r="B1361" s="183"/>
      <c r="C1361" s="183"/>
      <c r="D1361" s="183"/>
      <c r="E1361" s="219"/>
      <c r="F1361" s="219"/>
      <c r="G1361" s="183"/>
      <c r="H1361" s="183"/>
      <c r="I1361" s="183"/>
      <c r="J1361" s="183"/>
      <c r="K1361" s="183"/>
      <c r="L1361" s="183"/>
      <c r="M1361" s="183"/>
      <c r="N1361" s="183"/>
      <c r="O1361" s="183"/>
      <c r="P1361" s="183"/>
      <c r="Q1361" s="183"/>
      <c r="R1361" s="183"/>
      <c r="S1361" s="183"/>
      <c r="T1361" s="183"/>
      <c r="U1361" s="183"/>
      <c r="V1361" s="183"/>
      <c r="W1361" s="183"/>
      <c r="X1361" s="183"/>
      <c r="Y1361" s="183"/>
      <c r="Z1361" s="183"/>
      <c r="AA1361" s="183"/>
    </row>
    <row r="1362">
      <c r="A1362" s="183"/>
      <c r="B1362" s="183"/>
      <c r="C1362" s="183"/>
      <c r="D1362" s="183"/>
      <c r="E1362" s="219"/>
      <c r="F1362" s="219"/>
      <c r="G1362" s="183"/>
      <c r="H1362" s="183"/>
      <c r="I1362" s="183"/>
      <c r="J1362" s="183"/>
      <c r="K1362" s="183"/>
      <c r="L1362" s="183"/>
      <c r="M1362" s="183"/>
      <c r="N1362" s="183"/>
      <c r="O1362" s="183"/>
      <c r="P1362" s="183"/>
      <c r="Q1362" s="183"/>
      <c r="R1362" s="183"/>
      <c r="S1362" s="183"/>
      <c r="T1362" s="183"/>
      <c r="U1362" s="183"/>
      <c r="V1362" s="183"/>
      <c r="W1362" s="183"/>
      <c r="X1362" s="183"/>
      <c r="Y1362" s="183"/>
      <c r="Z1362" s="183"/>
      <c r="AA1362" s="183"/>
    </row>
    <row r="1363">
      <c r="A1363" s="183"/>
      <c r="B1363" s="183"/>
      <c r="C1363" s="183"/>
      <c r="D1363" s="183"/>
      <c r="E1363" s="219"/>
      <c r="F1363" s="219"/>
      <c r="G1363" s="183"/>
      <c r="H1363" s="183"/>
      <c r="I1363" s="183"/>
      <c r="J1363" s="183"/>
      <c r="K1363" s="183"/>
      <c r="L1363" s="183"/>
      <c r="M1363" s="183"/>
      <c r="N1363" s="183"/>
      <c r="O1363" s="183"/>
      <c r="P1363" s="183"/>
      <c r="Q1363" s="183"/>
      <c r="R1363" s="183"/>
      <c r="S1363" s="183"/>
      <c r="T1363" s="183"/>
      <c r="U1363" s="183"/>
      <c r="V1363" s="183"/>
      <c r="W1363" s="183"/>
      <c r="X1363" s="183"/>
      <c r="Y1363" s="183"/>
      <c r="Z1363" s="183"/>
      <c r="AA1363" s="183"/>
    </row>
    <row r="1364">
      <c r="A1364" s="183"/>
      <c r="B1364" s="183"/>
      <c r="C1364" s="183"/>
      <c r="D1364" s="183"/>
      <c r="E1364" s="219"/>
      <c r="F1364" s="219"/>
      <c r="G1364" s="183"/>
      <c r="H1364" s="183"/>
      <c r="I1364" s="183"/>
      <c r="J1364" s="183"/>
      <c r="K1364" s="183"/>
      <c r="L1364" s="183"/>
      <c r="M1364" s="183"/>
      <c r="N1364" s="183"/>
      <c r="O1364" s="183"/>
      <c r="P1364" s="183"/>
      <c r="Q1364" s="183"/>
      <c r="R1364" s="183"/>
      <c r="S1364" s="183"/>
      <c r="T1364" s="183"/>
      <c r="U1364" s="183"/>
      <c r="V1364" s="183"/>
      <c r="W1364" s="183"/>
      <c r="X1364" s="183"/>
      <c r="Y1364" s="183"/>
      <c r="Z1364" s="183"/>
      <c r="AA1364" s="183"/>
    </row>
    <row r="1365">
      <c r="A1365" s="183"/>
      <c r="B1365" s="183"/>
      <c r="C1365" s="183"/>
      <c r="D1365" s="183"/>
      <c r="E1365" s="219"/>
      <c r="F1365" s="219"/>
      <c r="G1365" s="183"/>
      <c r="H1365" s="183"/>
      <c r="I1365" s="183"/>
      <c r="J1365" s="183"/>
      <c r="K1365" s="183"/>
      <c r="L1365" s="183"/>
      <c r="M1365" s="183"/>
      <c r="N1365" s="183"/>
      <c r="O1365" s="183"/>
      <c r="P1365" s="183"/>
      <c r="Q1365" s="183"/>
      <c r="R1365" s="183"/>
      <c r="S1365" s="183"/>
      <c r="T1365" s="183"/>
      <c r="U1365" s="183"/>
      <c r="V1365" s="183"/>
      <c r="W1365" s="183"/>
      <c r="X1365" s="183"/>
      <c r="Y1365" s="183"/>
      <c r="Z1365" s="183"/>
      <c r="AA1365" s="183"/>
    </row>
    <row r="1366">
      <c r="A1366" s="183"/>
      <c r="B1366" s="183"/>
      <c r="C1366" s="183"/>
      <c r="D1366" s="183"/>
      <c r="E1366" s="219"/>
      <c r="F1366" s="219"/>
      <c r="G1366" s="183"/>
      <c r="H1366" s="183"/>
      <c r="I1366" s="183"/>
      <c r="J1366" s="183"/>
      <c r="K1366" s="183"/>
      <c r="L1366" s="183"/>
      <c r="M1366" s="183"/>
      <c r="N1366" s="183"/>
      <c r="O1366" s="183"/>
      <c r="P1366" s="183"/>
      <c r="Q1366" s="183"/>
      <c r="R1366" s="183"/>
      <c r="S1366" s="183"/>
      <c r="T1366" s="183"/>
      <c r="U1366" s="183"/>
      <c r="V1366" s="183"/>
      <c r="W1366" s="183"/>
      <c r="X1366" s="183"/>
      <c r="Y1366" s="183"/>
      <c r="Z1366" s="183"/>
      <c r="AA1366" s="183"/>
    </row>
    <row r="1367">
      <c r="A1367" s="183"/>
      <c r="B1367" s="183"/>
      <c r="C1367" s="183"/>
      <c r="D1367" s="183"/>
      <c r="E1367" s="219"/>
      <c r="F1367" s="219"/>
      <c r="G1367" s="183"/>
      <c r="H1367" s="183"/>
      <c r="I1367" s="183"/>
      <c r="J1367" s="183"/>
      <c r="K1367" s="183"/>
      <c r="L1367" s="183"/>
      <c r="M1367" s="183"/>
      <c r="N1367" s="183"/>
      <c r="O1367" s="183"/>
      <c r="P1367" s="183"/>
      <c r="Q1367" s="183"/>
      <c r="R1367" s="183"/>
      <c r="S1367" s="183"/>
      <c r="T1367" s="183"/>
      <c r="U1367" s="183"/>
      <c r="V1367" s="183"/>
      <c r="W1367" s="183"/>
      <c r="X1367" s="183"/>
      <c r="Y1367" s="183"/>
      <c r="Z1367" s="183"/>
      <c r="AA1367" s="183"/>
    </row>
    <row r="1368">
      <c r="A1368" s="183"/>
      <c r="B1368" s="183"/>
      <c r="C1368" s="183"/>
      <c r="D1368" s="183"/>
      <c r="E1368" s="219"/>
      <c r="F1368" s="219"/>
      <c r="G1368" s="183"/>
      <c r="H1368" s="183"/>
      <c r="I1368" s="183"/>
      <c r="J1368" s="183"/>
      <c r="K1368" s="183"/>
      <c r="L1368" s="183"/>
      <c r="M1368" s="183"/>
      <c r="N1368" s="183"/>
      <c r="O1368" s="183"/>
      <c r="P1368" s="183"/>
      <c r="Q1368" s="183"/>
      <c r="R1368" s="183"/>
      <c r="S1368" s="183"/>
      <c r="T1368" s="183"/>
      <c r="U1368" s="183"/>
      <c r="V1368" s="183"/>
      <c r="W1368" s="183"/>
      <c r="X1368" s="183"/>
      <c r="Y1368" s="183"/>
      <c r="Z1368" s="183"/>
      <c r="AA1368" s="183"/>
    </row>
    <row r="1369">
      <c r="A1369" s="183"/>
      <c r="B1369" s="183"/>
      <c r="C1369" s="183"/>
      <c r="D1369" s="183"/>
      <c r="E1369" s="219"/>
      <c r="F1369" s="219"/>
      <c r="G1369" s="183"/>
      <c r="H1369" s="183"/>
      <c r="I1369" s="183"/>
      <c r="J1369" s="183"/>
      <c r="K1369" s="183"/>
      <c r="L1369" s="183"/>
      <c r="M1369" s="183"/>
      <c r="N1369" s="183"/>
      <c r="O1369" s="183"/>
      <c r="P1369" s="183"/>
      <c r="Q1369" s="183"/>
      <c r="R1369" s="183"/>
      <c r="S1369" s="183"/>
      <c r="T1369" s="183"/>
      <c r="U1369" s="183"/>
      <c r="V1369" s="183"/>
      <c r="W1369" s="183"/>
      <c r="X1369" s="183"/>
      <c r="Y1369" s="183"/>
      <c r="Z1369" s="183"/>
      <c r="AA1369" s="183"/>
    </row>
    <row r="1370">
      <c r="A1370" s="183"/>
      <c r="B1370" s="183"/>
      <c r="C1370" s="183"/>
      <c r="D1370" s="183"/>
      <c r="E1370" s="219"/>
      <c r="F1370" s="219"/>
      <c r="G1370" s="183"/>
      <c r="H1370" s="183"/>
      <c r="I1370" s="183"/>
      <c r="J1370" s="183"/>
      <c r="K1370" s="183"/>
      <c r="L1370" s="183"/>
      <c r="M1370" s="183"/>
      <c r="N1370" s="183"/>
      <c r="O1370" s="183"/>
      <c r="P1370" s="183"/>
      <c r="Q1370" s="183"/>
      <c r="R1370" s="183"/>
      <c r="S1370" s="183"/>
      <c r="T1370" s="183"/>
      <c r="U1370" s="183"/>
      <c r="V1370" s="183"/>
      <c r="W1370" s="183"/>
      <c r="X1370" s="183"/>
      <c r="Y1370" s="183"/>
      <c r="Z1370" s="183"/>
      <c r="AA1370" s="183"/>
    </row>
    <row r="1371">
      <c r="A1371" s="183"/>
      <c r="B1371" s="183"/>
      <c r="C1371" s="183"/>
      <c r="D1371" s="183"/>
      <c r="E1371" s="219"/>
      <c r="F1371" s="219"/>
      <c r="G1371" s="183"/>
      <c r="H1371" s="183"/>
      <c r="I1371" s="183"/>
      <c r="J1371" s="183"/>
      <c r="K1371" s="183"/>
      <c r="L1371" s="183"/>
      <c r="M1371" s="183"/>
      <c r="N1371" s="183"/>
      <c r="O1371" s="183"/>
      <c r="P1371" s="183"/>
      <c r="Q1371" s="183"/>
      <c r="R1371" s="183"/>
      <c r="S1371" s="183"/>
      <c r="T1371" s="183"/>
      <c r="U1371" s="183"/>
      <c r="V1371" s="183"/>
      <c r="W1371" s="183"/>
      <c r="X1371" s="183"/>
      <c r="Y1371" s="183"/>
      <c r="Z1371" s="183"/>
      <c r="AA1371" s="183"/>
    </row>
    <row r="1372">
      <c r="A1372" s="183"/>
      <c r="B1372" s="183"/>
      <c r="C1372" s="183"/>
      <c r="D1372" s="183"/>
      <c r="E1372" s="219"/>
      <c r="F1372" s="219"/>
      <c r="G1372" s="183"/>
      <c r="H1372" s="183"/>
      <c r="I1372" s="183"/>
      <c r="J1372" s="183"/>
      <c r="K1372" s="183"/>
      <c r="L1372" s="183"/>
      <c r="M1372" s="183"/>
      <c r="N1372" s="183"/>
      <c r="O1372" s="183"/>
      <c r="P1372" s="183"/>
      <c r="Q1372" s="183"/>
      <c r="R1372" s="183"/>
      <c r="S1372" s="183"/>
      <c r="T1372" s="183"/>
      <c r="U1372" s="183"/>
      <c r="V1372" s="183"/>
      <c r="W1372" s="183"/>
      <c r="X1372" s="183"/>
      <c r="Y1372" s="183"/>
      <c r="Z1372" s="183"/>
      <c r="AA1372" s="183"/>
    </row>
    <row r="1373">
      <c r="A1373" s="183"/>
      <c r="B1373" s="183"/>
      <c r="C1373" s="183"/>
      <c r="D1373" s="183"/>
      <c r="E1373" s="219"/>
      <c r="F1373" s="219"/>
      <c r="G1373" s="183"/>
      <c r="H1373" s="183"/>
      <c r="I1373" s="183"/>
      <c r="J1373" s="183"/>
      <c r="K1373" s="183"/>
      <c r="L1373" s="183"/>
      <c r="M1373" s="183"/>
      <c r="N1373" s="183"/>
      <c r="O1373" s="183"/>
      <c r="P1373" s="183"/>
      <c r="Q1373" s="183"/>
      <c r="R1373" s="183"/>
      <c r="S1373" s="183"/>
      <c r="T1373" s="183"/>
      <c r="U1373" s="183"/>
      <c r="V1373" s="183"/>
      <c r="W1373" s="183"/>
      <c r="X1373" s="183"/>
      <c r="Y1373" s="183"/>
      <c r="Z1373" s="183"/>
      <c r="AA1373" s="183"/>
    </row>
    <row r="1374">
      <c r="A1374" s="183"/>
      <c r="B1374" s="183"/>
      <c r="C1374" s="183"/>
      <c r="D1374" s="183"/>
      <c r="E1374" s="219"/>
      <c r="F1374" s="219"/>
      <c r="G1374" s="183"/>
      <c r="H1374" s="183"/>
      <c r="I1374" s="183"/>
      <c r="J1374" s="183"/>
      <c r="K1374" s="183"/>
      <c r="L1374" s="183"/>
      <c r="M1374" s="183"/>
      <c r="N1374" s="183"/>
      <c r="O1374" s="183"/>
      <c r="P1374" s="183"/>
      <c r="Q1374" s="183"/>
      <c r="R1374" s="183"/>
      <c r="S1374" s="183"/>
      <c r="T1374" s="183"/>
      <c r="U1374" s="183"/>
      <c r="V1374" s="183"/>
      <c r="W1374" s="183"/>
      <c r="X1374" s="183"/>
      <c r="Y1374" s="183"/>
      <c r="Z1374" s="183"/>
      <c r="AA1374" s="183"/>
    </row>
    <row r="1375">
      <c r="A1375" s="183"/>
      <c r="B1375" s="183"/>
      <c r="C1375" s="183"/>
      <c r="D1375" s="183"/>
      <c r="E1375" s="219"/>
      <c r="F1375" s="219"/>
      <c r="G1375" s="183"/>
      <c r="H1375" s="183"/>
      <c r="I1375" s="183"/>
      <c r="J1375" s="183"/>
      <c r="K1375" s="183"/>
      <c r="L1375" s="183"/>
      <c r="M1375" s="183"/>
      <c r="N1375" s="183"/>
      <c r="O1375" s="183"/>
      <c r="P1375" s="183"/>
      <c r="Q1375" s="183"/>
      <c r="R1375" s="183"/>
      <c r="S1375" s="183"/>
      <c r="T1375" s="183"/>
      <c r="U1375" s="183"/>
      <c r="V1375" s="183"/>
      <c r="W1375" s="183"/>
      <c r="X1375" s="183"/>
      <c r="Y1375" s="183"/>
      <c r="Z1375" s="183"/>
      <c r="AA1375" s="183"/>
    </row>
    <row r="1376">
      <c r="A1376" s="183"/>
      <c r="B1376" s="183"/>
      <c r="C1376" s="183"/>
      <c r="D1376" s="183"/>
      <c r="E1376" s="219"/>
      <c r="F1376" s="219"/>
      <c r="G1376" s="183"/>
      <c r="H1376" s="183"/>
      <c r="I1376" s="183"/>
      <c r="J1376" s="183"/>
      <c r="K1376" s="183"/>
      <c r="L1376" s="183"/>
      <c r="M1376" s="183"/>
      <c r="N1376" s="183"/>
      <c r="O1376" s="183"/>
      <c r="P1376" s="183"/>
      <c r="Q1376" s="183"/>
      <c r="R1376" s="183"/>
      <c r="S1376" s="183"/>
      <c r="T1376" s="183"/>
      <c r="U1376" s="183"/>
      <c r="V1376" s="183"/>
      <c r="W1376" s="183"/>
      <c r="X1376" s="183"/>
      <c r="Y1376" s="183"/>
      <c r="Z1376" s="183"/>
      <c r="AA1376" s="183"/>
    </row>
    <row r="1377">
      <c r="A1377" s="183"/>
      <c r="B1377" s="183"/>
      <c r="C1377" s="183"/>
      <c r="D1377" s="183"/>
      <c r="E1377" s="219"/>
      <c r="F1377" s="219"/>
      <c r="G1377" s="183"/>
      <c r="H1377" s="183"/>
      <c r="I1377" s="183"/>
      <c r="J1377" s="183"/>
      <c r="K1377" s="183"/>
      <c r="L1377" s="183"/>
      <c r="M1377" s="183"/>
      <c r="N1377" s="183"/>
      <c r="O1377" s="183"/>
      <c r="P1377" s="183"/>
      <c r="Q1377" s="183"/>
      <c r="R1377" s="183"/>
      <c r="S1377" s="183"/>
      <c r="T1377" s="183"/>
      <c r="U1377" s="183"/>
      <c r="V1377" s="183"/>
      <c r="W1377" s="183"/>
      <c r="X1377" s="183"/>
      <c r="Y1377" s="183"/>
      <c r="Z1377" s="183"/>
      <c r="AA1377" s="183"/>
    </row>
    <row r="1378">
      <c r="A1378" s="183"/>
      <c r="B1378" s="183"/>
      <c r="C1378" s="183"/>
      <c r="D1378" s="183"/>
      <c r="E1378" s="219"/>
      <c r="F1378" s="219"/>
      <c r="G1378" s="183"/>
      <c r="H1378" s="183"/>
      <c r="I1378" s="183"/>
      <c r="J1378" s="183"/>
      <c r="K1378" s="183"/>
      <c r="L1378" s="183"/>
      <c r="M1378" s="183"/>
      <c r="N1378" s="183"/>
      <c r="O1378" s="183"/>
      <c r="P1378" s="183"/>
      <c r="Q1378" s="183"/>
      <c r="R1378" s="183"/>
      <c r="S1378" s="183"/>
      <c r="T1378" s="183"/>
      <c r="U1378" s="183"/>
      <c r="V1378" s="183"/>
      <c r="W1378" s="183"/>
      <c r="X1378" s="183"/>
      <c r="Y1378" s="183"/>
      <c r="Z1378" s="183"/>
      <c r="AA1378" s="183"/>
    </row>
    <row r="1379">
      <c r="A1379" s="183"/>
      <c r="B1379" s="183"/>
      <c r="C1379" s="183"/>
      <c r="D1379" s="183"/>
      <c r="E1379" s="219"/>
      <c r="F1379" s="219"/>
      <c r="G1379" s="183"/>
      <c r="H1379" s="183"/>
      <c r="I1379" s="183"/>
      <c r="J1379" s="183"/>
      <c r="K1379" s="183"/>
      <c r="L1379" s="183"/>
      <c r="M1379" s="183"/>
      <c r="N1379" s="183"/>
      <c r="O1379" s="183"/>
      <c r="P1379" s="183"/>
      <c r="Q1379" s="183"/>
      <c r="R1379" s="183"/>
      <c r="S1379" s="183"/>
      <c r="T1379" s="183"/>
      <c r="U1379" s="183"/>
      <c r="V1379" s="183"/>
      <c r="W1379" s="183"/>
      <c r="X1379" s="183"/>
      <c r="Y1379" s="183"/>
      <c r="Z1379" s="183"/>
      <c r="AA1379" s="183"/>
    </row>
    <row r="1380">
      <c r="A1380" s="183"/>
      <c r="B1380" s="183"/>
      <c r="C1380" s="183"/>
      <c r="D1380" s="183"/>
      <c r="E1380" s="219"/>
      <c r="F1380" s="219"/>
      <c r="G1380" s="183"/>
      <c r="H1380" s="183"/>
      <c r="I1380" s="183"/>
      <c r="J1380" s="183"/>
      <c r="K1380" s="183"/>
      <c r="L1380" s="183"/>
      <c r="M1380" s="183"/>
      <c r="N1380" s="183"/>
      <c r="O1380" s="183"/>
      <c r="P1380" s="183"/>
      <c r="Q1380" s="183"/>
      <c r="R1380" s="183"/>
      <c r="S1380" s="183"/>
      <c r="T1380" s="183"/>
      <c r="U1380" s="183"/>
      <c r="V1380" s="183"/>
      <c r="W1380" s="183"/>
      <c r="X1380" s="183"/>
      <c r="Y1380" s="183"/>
      <c r="Z1380" s="183"/>
      <c r="AA1380" s="183"/>
    </row>
    <row r="1381">
      <c r="A1381" s="183"/>
      <c r="B1381" s="183"/>
      <c r="C1381" s="183"/>
      <c r="D1381" s="183"/>
      <c r="E1381" s="219"/>
      <c r="F1381" s="219"/>
      <c r="G1381" s="183"/>
      <c r="H1381" s="183"/>
      <c r="I1381" s="183"/>
      <c r="J1381" s="183"/>
      <c r="K1381" s="183"/>
      <c r="L1381" s="183"/>
      <c r="M1381" s="183"/>
      <c r="N1381" s="183"/>
      <c r="O1381" s="183"/>
      <c r="P1381" s="183"/>
      <c r="Q1381" s="183"/>
      <c r="R1381" s="183"/>
      <c r="S1381" s="183"/>
      <c r="T1381" s="183"/>
      <c r="U1381" s="183"/>
      <c r="V1381" s="183"/>
      <c r="W1381" s="183"/>
      <c r="X1381" s="183"/>
      <c r="Y1381" s="183"/>
      <c r="Z1381" s="183"/>
      <c r="AA1381" s="183"/>
    </row>
    <row r="1382">
      <c r="A1382" s="183"/>
      <c r="B1382" s="183"/>
      <c r="C1382" s="183"/>
      <c r="D1382" s="183"/>
      <c r="E1382" s="219"/>
      <c r="F1382" s="219"/>
      <c r="G1382" s="183"/>
      <c r="H1382" s="183"/>
      <c r="I1382" s="183"/>
      <c r="J1382" s="183"/>
      <c r="K1382" s="183"/>
      <c r="L1382" s="183"/>
      <c r="M1382" s="183"/>
      <c r="N1382" s="183"/>
      <c r="O1382" s="183"/>
      <c r="P1382" s="183"/>
      <c r="Q1382" s="183"/>
      <c r="R1382" s="183"/>
      <c r="S1382" s="183"/>
      <c r="T1382" s="183"/>
      <c r="U1382" s="183"/>
      <c r="V1382" s="183"/>
      <c r="W1382" s="183"/>
      <c r="X1382" s="183"/>
      <c r="Y1382" s="183"/>
      <c r="Z1382" s="183"/>
      <c r="AA1382" s="183"/>
    </row>
    <row r="1383">
      <c r="A1383" s="183"/>
      <c r="B1383" s="183"/>
      <c r="C1383" s="183"/>
      <c r="D1383" s="183"/>
      <c r="E1383" s="219"/>
      <c r="F1383" s="219"/>
      <c r="G1383" s="183"/>
      <c r="H1383" s="183"/>
      <c r="I1383" s="183"/>
      <c r="J1383" s="183"/>
      <c r="K1383" s="183"/>
      <c r="L1383" s="183"/>
      <c r="M1383" s="183"/>
      <c r="N1383" s="183"/>
      <c r="O1383" s="183"/>
      <c r="P1383" s="183"/>
      <c r="Q1383" s="183"/>
      <c r="R1383" s="183"/>
      <c r="S1383" s="183"/>
      <c r="T1383" s="183"/>
      <c r="U1383" s="183"/>
      <c r="V1383" s="183"/>
      <c r="W1383" s="183"/>
      <c r="X1383" s="183"/>
      <c r="Y1383" s="183"/>
      <c r="Z1383" s="183"/>
      <c r="AA1383" s="183"/>
    </row>
  </sheetData>
  <mergeCells count="10">
    <mergeCell ref="A329:E329"/>
    <mergeCell ref="A331:F331"/>
    <mergeCell ref="A435:E435"/>
    <mergeCell ref="A1:F1"/>
    <mergeCell ref="A77:E77"/>
    <mergeCell ref="A80:F80"/>
    <mergeCell ref="A213:E213"/>
    <mergeCell ref="A216:F216"/>
    <mergeCell ref="A290:E290"/>
    <mergeCell ref="A293:F293"/>
  </mergeCells>
  <conditionalFormatting sqref="C348:D350 F348:G350 K348:N350 B349:B350">
    <cfRule type="expression" dxfId="11" priority="1">
      <formula>ARRAYFORMULA({"Saldo"; IF(LEN(T338:T1383)=0, , T338:T1383 - #REF!)})</formula>
    </cfRule>
  </conditionalFormatting>
  <conditionalFormatting sqref="S347">
    <cfRule type="expression" dxfId="9" priority="2">
      <formula>$K347="Instagram"</formula>
    </cfRule>
  </conditionalFormatting>
  <conditionalFormatting sqref="S347">
    <cfRule type="expression" dxfId="14" priority="3">
      <formula>$K347="WhatsApp"</formula>
    </cfRule>
  </conditionalFormatting>
  <conditionalFormatting sqref="O346:O347">
    <cfRule type="expression" dxfId="6" priority="4">
      <formula>AND(ISNUMBER($G346), $G346-TODAY()&lt;=2, $G346&gt;=TODAY())</formula>
    </cfRule>
  </conditionalFormatting>
  <conditionalFormatting sqref="O346:O347">
    <cfRule type="notContainsBlanks" dxfId="10" priority="5">
      <formula>LEN(TRIM(O346))&gt;0</formula>
    </cfRule>
  </conditionalFormatting>
  <conditionalFormatting sqref="O346:O347">
    <cfRule type="expression" dxfId="11" priority="6">
      <formula>AND(ISNUMBER(O346),TRUNC(O346)&gt;TODAY())</formula>
    </cfRule>
  </conditionalFormatting>
  <conditionalFormatting sqref="K332:K339 F333:G340 F342:G343 F345:G350 K346 P346:R347 S347:T347 K348:K350">
    <cfRule type="expression" dxfId="5" priority="7">
      <formula>AND($D332&lt;&gt;"", ISEVEN(ROW()))</formula>
    </cfRule>
  </conditionalFormatting>
  <conditionalFormatting sqref="K332:N339 B333:C340 D333:D339 F333:G340 F342:G343 B345:B347 F345:G350 K346 L346:N350 O346:R347 S347:T347 C348:D350 K348:K350 B349:B350 B353:B354 C353:C356">
    <cfRule type="expression" dxfId="12" priority="8">
      <formula>$L332="Entregado"</formula>
    </cfRule>
  </conditionalFormatting>
  <conditionalFormatting sqref="K332:N339 B333:C340 D333:D339 F333:G340 F342:G343 B345:B347 F345:G350 K346 L346:N350 O346:R347 S347:T347 C348:D350 K348:K350 B349:B350 B353:B354 C353:C356">
    <cfRule type="expression" dxfId="13" priority="9">
      <formula>$L332="Listo"</formula>
    </cfRule>
  </conditionalFormatting>
  <conditionalFormatting sqref="K332:N339 B333:C340 D333:D339 F333:G340 F342:G343 B345:B347 F345:G347 K346 L346:R347 S347:T347 B349 B353:B354 C353:C356">
    <cfRule type="expression" dxfId="11" priority="10">
      <formula>ARRAYFORMULA({"Saldo"; IF(LEN(S333:S1383)=0, , S333:S1383 - #REF!)})</formula>
    </cfRule>
  </conditionalFormatting>
  <dataValidations>
    <dataValidation type="list" allowBlank="1" sqref="T303 T347">
      <formula1>"No comenzado,En diseño,Imprimiendo,Post-procesado,Listo,Entregado,Cancelado"</formula1>
    </dataValidation>
    <dataValidation type="list" allowBlank="1" showErrorMessage="1" sqref="E3:E76 E82:E212 E218:E289 E295:E328 E333:E434">
      <formula1>"Transferencia,Efectivo,Tarjeta de Débito,Tarjeta de Crédito"</formula1>
    </dataValidation>
    <dataValidation type="list" allowBlank="1" sqref="S303 S347">
      <formula1>"WhatsApp,Facebook,Instagram,Otro"</formula1>
    </dataValidation>
  </dataValidations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33.71"/>
    <col customWidth="1" min="3" max="3" width="31.86"/>
    <col customWidth="1" min="4" max="26" width="8.71"/>
  </cols>
  <sheetData>
    <row r="1">
      <c r="A1" s="220" t="s">
        <v>998</v>
      </c>
    </row>
    <row r="3">
      <c r="A3" s="221" t="s">
        <v>999</v>
      </c>
      <c r="B3" s="221">
        <f>COUNTA(#REF!:A)</f>
        <v>1</v>
      </c>
    </row>
    <row r="4">
      <c r="A4" s="221" t="s">
        <v>1000</v>
      </c>
      <c r="B4" s="221">
        <f>COUNTIF(Pedidos!J:J,"Entregado")</f>
        <v>136</v>
      </c>
    </row>
    <row r="5">
      <c r="A5" s="221" t="s">
        <v>1001</v>
      </c>
      <c r="B5" s="221">
        <f>COUNTIF(#REF!,"No")</f>
        <v>0</v>
      </c>
    </row>
    <row r="6">
      <c r="A6" s="221" t="s">
        <v>1002</v>
      </c>
      <c r="B6" s="221" t="str">
        <f>SUM(#REF!)</f>
        <v>#REF!</v>
      </c>
    </row>
    <row r="9">
      <c r="A9" s="222" t="s">
        <v>1003</v>
      </c>
    </row>
    <row r="11">
      <c r="A11" s="222" t="s">
        <v>1004</v>
      </c>
      <c r="B11" s="222" t="s">
        <v>1005</v>
      </c>
      <c r="C11" s="222" t="s">
        <v>1006</v>
      </c>
      <c r="H11" s="222" t="s">
        <v>1007</v>
      </c>
    </row>
    <row r="12">
      <c r="A12" s="222">
        <v>399693.0</v>
      </c>
      <c r="B12" s="222" t="s">
        <v>1008</v>
      </c>
    </row>
    <row r="13">
      <c r="A13" s="222">
        <v>401406.0</v>
      </c>
      <c r="B13" s="222" t="s">
        <v>1009</v>
      </c>
      <c r="C13" s="222" t="s">
        <v>1010</v>
      </c>
    </row>
    <row r="14">
      <c r="A14" s="222">
        <v>402057.0</v>
      </c>
      <c r="B14" s="222" t="s">
        <v>1011</v>
      </c>
    </row>
    <row r="15">
      <c r="A15" s="222">
        <v>401666.0</v>
      </c>
      <c r="B15" s="222" t="s">
        <v>1012</v>
      </c>
    </row>
    <row r="16">
      <c r="A16" s="222">
        <v>399723.0</v>
      </c>
      <c r="B16" s="222" t="s">
        <v>1013</v>
      </c>
    </row>
    <row r="17">
      <c r="A17" s="222">
        <v>402637.0</v>
      </c>
      <c r="B17" s="222" t="s">
        <v>1008</v>
      </c>
    </row>
    <row r="18">
      <c r="A18" s="222">
        <v>403321.0</v>
      </c>
      <c r="B18" s="222" t="s">
        <v>1014</v>
      </c>
    </row>
    <row r="19">
      <c r="A19" s="222">
        <v>404045.0</v>
      </c>
      <c r="B19" s="222" t="s">
        <v>1015</v>
      </c>
    </row>
    <row r="20">
      <c r="A20" s="222"/>
    </row>
    <row r="21" ht="15.75" customHeight="1"/>
    <row r="22" ht="15.75" customHeight="1"/>
    <row r="23" ht="15.75" customHeight="1">
      <c r="B23" s="22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31.71"/>
    <col customWidth="1" min="3" max="3" width="17.43"/>
    <col customWidth="1" min="4" max="4" width="13.29"/>
    <col customWidth="1" min="5" max="5" width="35.57"/>
    <col customWidth="1" min="6" max="6" width="17.0"/>
    <col customWidth="1" min="7" max="7" width="14.29"/>
    <col customWidth="1" min="8" max="8" width="45.0"/>
  </cols>
  <sheetData>
    <row r="1">
      <c r="A1" s="223"/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</row>
    <row r="2">
      <c r="A2" s="224"/>
      <c r="B2" s="225" t="s">
        <v>1016</v>
      </c>
      <c r="C2" s="226">
        <v>19000.0</v>
      </c>
      <c r="D2" s="223"/>
      <c r="E2" s="227" t="s">
        <v>1017</v>
      </c>
      <c r="F2" s="228">
        <v>22700.0</v>
      </c>
      <c r="G2" s="223"/>
      <c r="H2" s="229" t="s">
        <v>1018</v>
      </c>
      <c r="I2" s="230" t="s">
        <v>1019</v>
      </c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</row>
    <row r="3">
      <c r="A3" s="231"/>
      <c r="B3" s="232" t="s">
        <v>1020</v>
      </c>
      <c r="C3" s="233">
        <v>11.0</v>
      </c>
      <c r="D3" s="223"/>
      <c r="E3" s="232" t="s">
        <v>1020</v>
      </c>
      <c r="F3" s="233">
        <v>0.0</v>
      </c>
      <c r="G3" s="223"/>
      <c r="H3" s="234" t="s">
        <v>1021</v>
      </c>
      <c r="I3" s="235">
        <v>7.0</v>
      </c>
      <c r="J3" s="231" t="s">
        <v>1022</v>
      </c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</row>
    <row r="4">
      <c r="A4" s="231"/>
      <c r="B4" s="232" t="s">
        <v>225</v>
      </c>
      <c r="C4" s="233">
        <v>9.0</v>
      </c>
      <c r="D4" s="223"/>
      <c r="E4" s="232" t="s">
        <v>225</v>
      </c>
      <c r="F4" s="233">
        <v>0.0</v>
      </c>
      <c r="G4" s="223"/>
      <c r="H4" s="234" t="s">
        <v>1023</v>
      </c>
      <c r="I4" s="235">
        <v>9.0</v>
      </c>
      <c r="J4" s="231" t="s">
        <v>1022</v>
      </c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</row>
    <row r="5">
      <c r="A5" s="231"/>
      <c r="B5" s="232" t="s">
        <v>1024</v>
      </c>
      <c r="C5" s="233">
        <v>0.0</v>
      </c>
      <c r="D5" s="223"/>
      <c r="E5" s="232" t="s">
        <v>1025</v>
      </c>
      <c r="F5" s="233">
        <v>0.0</v>
      </c>
      <c r="G5" s="223"/>
      <c r="H5" s="234" t="s">
        <v>1026</v>
      </c>
      <c r="I5" s="235">
        <v>9.0</v>
      </c>
      <c r="J5" s="231" t="s">
        <v>1022</v>
      </c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</row>
    <row r="6">
      <c r="A6" s="231"/>
      <c r="B6" s="232" t="s">
        <v>1027</v>
      </c>
      <c r="C6" s="233">
        <v>2.0</v>
      </c>
      <c r="D6" s="223"/>
      <c r="E6" s="232" t="s">
        <v>1028</v>
      </c>
      <c r="F6" s="233">
        <v>0.0</v>
      </c>
      <c r="G6" s="223"/>
      <c r="H6" s="234" t="s">
        <v>1029</v>
      </c>
      <c r="I6" s="235">
        <v>5.0</v>
      </c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</row>
    <row r="7">
      <c r="A7" s="231"/>
      <c r="B7" s="232" t="s">
        <v>1030</v>
      </c>
      <c r="C7" s="233">
        <v>0.0</v>
      </c>
      <c r="D7" s="223"/>
      <c r="E7" s="232" t="s">
        <v>1031</v>
      </c>
      <c r="F7" s="233">
        <v>1.0</v>
      </c>
      <c r="G7" s="223"/>
      <c r="H7" s="234" t="s">
        <v>1032</v>
      </c>
      <c r="I7" s="235">
        <v>0.0</v>
      </c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3"/>
    </row>
    <row r="8">
      <c r="A8" s="231"/>
      <c r="B8" s="232" t="s">
        <v>1033</v>
      </c>
      <c r="C8" s="233">
        <v>0.0</v>
      </c>
      <c r="D8" s="223"/>
      <c r="E8" s="232" t="s">
        <v>1034</v>
      </c>
      <c r="F8" s="233">
        <v>1.0</v>
      </c>
      <c r="G8" s="223"/>
      <c r="H8" s="234" t="s">
        <v>1035</v>
      </c>
      <c r="I8" s="235">
        <v>0.0</v>
      </c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</row>
    <row r="9">
      <c r="A9" s="231"/>
      <c r="B9" s="232" t="s">
        <v>1036</v>
      </c>
      <c r="C9" s="233">
        <v>1.0</v>
      </c>
      <c r="D9" s="223"/>
      <c r="E9" s="232" t="s">
        <v>1027</v>
      </c>
      <c r="F9" s="233">
        <v>1.0</v>
      </c>
      <c r="G9" s="223"/>
      <c r="H9" s="234" t="s">
        <v>1037</v>
      </c>
      <c r="I9" s="235">
        <v>3.0</v>
      </c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</row>
    <row r="10">
      <c r="A10" s="231"/>
      <c r="B10" s="232" t="s">
        <v>1038</v>
      </c>
      <c r="C10" s="233">
        <v>0.0</v>
      </c>
      <c r="D10" s="223"/>
      <c r="E10" s="232" t="s">
        <v>1039</v>
      </c>
      <c r="F10" s="233">
        <v>0.0</v>
      </c>
      <c r="G10" s="223"/>
      <c r="H10" s="234" t="s">
        <v>1040</v>
      </c>
      <c r="I10" s="235">
        <v>0.0</v>
      </c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</row>
    <row r="11">
      <c r="A11" s="231"/>
      <c r="B11" s="232" t="s">
        <v>1041</v>
      </c>
      <c r="C11" s="233">
        <v>1.0</v>
      </c>
      <c r="D11" s="223"/>
      <c r="E11" s="232" t="s">
        <v>1041</v>
      </c>
      <c r="F11" s="233">
        <v>3.0</v>
      </c>
      <c r="G11" s="223"/>
      <c r="H11" s="236" t="s">
        <v>1042</v>
      </c>
      <c r="I11" s="237">
        <v>0.0</v>
      </c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</row>
    <row r="12">
      <c r="A12" s="231"/>
      <c r="B12" s="232" t="s">
        <v>1043</v>
      </c>
      <c r="C12" s="233">
        <v>0.0</v>
      </c>
      <c r="D12" s="223"/>
      <c r="E12" s="232" t="s">
        <v>1044</v>
      </c>
      <c r="F12" s="233">
        <v>0.0</v>
      </c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</row>
    <row r="13">
      <c r="A13" s="231"/>
      <c r="B13" s="232" t="s">
        <v>1045</v>
      </c>
      <c r="C13" s="233">
        <v>0.0</v>
      </c>
      <c r="D13" s="223"/>
      <c r="E13" s="232" t="s">
        <v>1046</v>
      </c>
      <c r="F13" s="233">
        <v>0.0</v>
      </c>
      <c r="G13" s="223"/>
      <c r="H13" s="238" t="s">
        <v>1047</v>
      </c>
      <c r="I13" s="239" t="s">
        <v>1019</v>
      </c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</row>
    <row r="14">
      <c r="A14" s="231"/>
      <c r="B14" s="232" t="s">
        <v>1048</v>
      </c>
      <c r="C14" s="233">
        <v>2.0</v>
      </c>
      <c r="D14" s="223"/>
      <c r="E14" s="232" t="s">
        <v>1048</v>
      </c>
      <c r="F14" s="233">
        <v>0.0</v>
      </c>
      <c r="G14" s="223"/>
      <c r="H14" s="234" t="s">
        <v>1049</v>
      </c>
      <c r="I14" s="235">
        <v>0.0</v>
      </c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</row>
    <row r="15">
      <c r="A15" s="231"/>
      <c r="B15" s="232" t="s">
        <v>1046</v>
      </c>
      <c r="C15" s="233">
        <v>0.0</v>
      </c>
      <c r="D15" s="223"/>
      <c r="E15" s="232" t="s">
        <v>117</v>
      </c>
      <c r="F15" s="233">
        <v>0.0</v>
      </c>
      <c r="G15" s="223"/>
      <c r="H15" s="236" t="s">
        <v>1050</v>
      </c>
      <c r="I15" s="237">
        <v>2.0</v>
      </c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</row>
    <row r="16">
      <c r="A16" s="231"/>
      <c r="B16" s="232" t="s">
        <v>1039</v>
      </c>
      <c r="C16" s="233">
        <v>0.0</v>
      </c>
      <c r="D16" s="223"/>
      <c r="E16" s="232" t="s">
        <v>1051</v>
      </c>
      <c r="F16" s="233">
        <v>1.0</v>
      </c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</row>
    <row r="17">
      <c r="A17" s="231"/>
      <c r="B17" s="232" t="s">
        <v>117</v>
      </c>
      <c r="C17" s="233">
        <v>0.0</v>
      </c>
      <c r="D17" s="223"/>
      <c r="E17" s="232" t="s">
        <v>1052</v>
      </c>
      <c r="F17" s="233">
        <v>2.0</v>
      </c>
      <c r="G17" s="223"/>
      <c r="H17" s="240" t="s">
        <v>1053</v>
      </c>
      <c r="I17" s="241" t="s">
        <v>1019</v>
      </c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</row>
    <row r="18">
      <c r="A18" s="231"/>
      <c r="B18" s="232" t="s">
        <v>1054</v>
      </c>
      <c r="C18" s="233">
        <v>2.0</v>
      </c>
      <c r="D18" s="223"/>
      <c r="E18" s="232" t="s">
        <v>1055</v>
      </c>
      <c r="F18" s="233">
        <v>1.0</v>
      </c>
      <c r="G18" s="223"/>
      <c r="H18" s="232" t="s">
        <v>1056</v>
      </c>
      <c r="I18" s="233">
        <v>1.0</v>
      </c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</row>
    <row r="19">
      <c r="A19" s="231"/>
      <c r="B19" s="232" t="s">
        <v>1057</v>
      </c>
      <c r="C19" s="233">
        <v>0.0</v>
      </c>
      <c r="D19" s="223"/>
      <c r="E19" s="232" t="s">
        <v>1058</v>
      </c>
      <c r="F19" s="233">
        <v>5.0</v>
      </c>
      <c r="G19" s="223"/>
      <c r="H19" s="232" t="s">
        <v>1059</v>
      </c>
      <c r="I19" s="233">
        <v>1.0</v>
      </c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  <c r="AA19" s="223"/>
    </row>
    <row r="20">
      <c r="A20" s="231"/>
      <c r="B20" s="232" t="s">
        <v>1060</v>
      </c>
      <c r="C20" s="233">
        <v>0.0</v>
      </c>
      <c r="D20" s="223"/>
      <c r="E20" s="232" t="s">
        <v>1061</v>
      </c>
      <c r="F20" s="233">
        <v>1.0</v>
      </c>
      <c r="G20" s="223"/>
      <c r="H20" s="232" t="s">
        <v>1062</v>
      </c>
      <c r="I20" s="233">
        <v>2.0</v>
      </c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  <c r="AA20" s="223"/>
    </row>
    <row r="21">
      <c r="A21" s="231"/>
      <c r="B21" s="232" t="s">
        <v>1063</v>
      </c>
      <c r="C21" s="233">
        <v>0.0</v>
      </c>
      <c r="D21" s="223"/>
      <c r="E21" s="232" t="s">
        <v>1064</v>
      </c>
      <c r="F21" s="233">
        <v>0.0</v>
      </c>
      <c r="G21" s="223"/>
      <c r="H21" s="232" t="s">
        <v>1065</v>
      </c>
      <c r="I21" s="233">
        <v>1.0</v>
      </c>
      <c r="J21" s="223"/>
      <c r="K21" s="223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  <c r="AA21" s="223"/>
    </row>
    <row r="22">
      <c r="A22" s="231"/>
      <c r="B22" s="232" t="s">
        <v>1064</v>
      </c>
      <c r="C22" s="233">
        <v>0.0</v>
      </c>
      <c r="D22" s="223"/>
      <c r="E22" s="232" t="s">
        <v>1033</v>
      </c>
      <c r="F22" s="233">
        <v>0.0</v>
      </c>
      <c r="G22" s="223"/>
      <c r="H22" s="232" t="s">
        <v>1066</v>
      </c>
      <c r="I22" s="233">
        <v>1.0</v>
      </c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</row>
    <row r="23">
      <c r="A23" s="231"/>
      <c r="B23" s="242" t="s">
        <v>1061</v>
      </c>
      <c r="C23" s="243">
        <v>0.0</v>
      </c>
      <c r="D23" s="223"/>
      <c r="E23" s="232" t="s">
        <v>1067</v>
      </c>
      <c r="F23" s="233">
        <v>1.0</v>
      </c>
      <c r="G23" s="223"/>
      <c r="H23" s="232" t="s">
        <v>1068</v>
      </c>
      <c r="I23" s="233">
        <v>0.0</v>
      </c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  <c r="AA23" s="223"/>
    </row>
    <row r="24">
      <c r="A24" s="231"/>
      <c r="B24" s="231"/>
      <c r="C24" s="231"/>
      <c r="D24" s="223"/>
      <c r="E24" s="232" t="s">
        <v>1069</v>
      </c>
      <c r="F24" s="233">
        <v>1.0</v>
      </c>
      <c r="G24" s="223"/>
      <c r="H24" s="242" t="s">
        <v>1070</v>
      </c>
      <c r="I24" s="243">
        <v>0.0</v>
      </c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223"/>
    </row>
    <row r="25">
      <c r="A25" s="224"/>
      <c r="B25" s="244" t="s">
        <v>1071</v>
      </c>
      <c r="C25" s="245">
        <v>20500.0</v>
      </c>
      <c r="D25" s="223"/>
      <c r="E25" s="232" t="s">
        <v>1043</v>
      </c>
      <c r="F25" s="233">
        <v>0.0</v>
      </c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  <c r="AA25" s="223"/>
    </row>
    <row r="26">
      <c r="A26" s="231"/>
      <c r="B26" s="232" t="s">
        <v>1020</v>
      </c>
      <c r="C26" s="233">
        <v>0.0</v>
      </c>
      <c r="D26" s="223"/>
      <c r="E26" s="232" t="s">
        <v>1072</v>
      </c>
      <c r="F26" s="233">
        <v>1.0</v>
      </c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  <c r="AA26" s="223"/>
    </row>
    <row r="27">
      <c r="A27" s="231"/>
      <c r="B27" s="232" t="s">
        <v>225</v>
      </c>
      <c r="C27" s="233">
        <v>4.0</v>
      </c>
      <c r="D27" s="223"/>
      <c r="E27" s="242" t="s">
        <v>1073</v>
      </c>
      <c r="F27" s="243">
        <v>5.0</v>
      </c>
      <c r="G27" s="223"/>
      <c r="H27" s="246" t="s">
        <v>1074</v>
      </c>
      <c r="I27" s="247" t="s">
        <v>1019</v>
      </c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23"/>
    </row>
    <row r="28">
      <c r="A28" s="231"/>
      <c r="B28" s="232" t="s">
        <v>1024</v>
      </c>
      <c r="C28" s="233">
        <v>0.0</v>
      </c>
      <c r="D28" s="223"/>
      <c r="E28" s="223"/>
      <c r="F28" s="231"/>
      <c r="G28" s="223"/>
      <c r="H28" s="232" t="s">
        <v>1075</v>
      </c>
      <c r="I28" s="233">
        <v>1.0</v>
      </c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</row>
    <row r="29">
      <c r="A29" s="231"/>
      <c r="B29" s="232" t="s">
        <v>1027</v>
      </c>
      <c r="C29" s="233">
        <v>1.0</v>
      </c>
      <c r="D29" s="223"/>
      <c r="E29" s="248" t="s">
        <v>1076</v>
      </c>
      <c r="F29" s="249">
        <v>28700.0</v>
      </c>
      <c r="G29" s="223"/>
      <c r="H29" s="242" t="s">
        <v>1040</v>
      </c>
      <c r="I29" s="243">
        <v>1.0</v>
      </c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  <c r="AA29" s="223"/>
    </row>
    <row r="30">
      <c r="A30" s="231"/>
      <c r="B30" s="232" t="s">
        <v>1030</v>
      </c>
      <c r="C30" s="233">
        <v>1.0</v>
      </c>
      <c r="D30" s="223"/>
      <c r="E30" s="232" t="s">
        <v>1077</v>
      </c>
      <c r="F30" s="233">
        <v>3.0</v>
      </c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  <c r="AA30" s="223"/>
    </row>
    <row r="31">
      <c r="A31" s="231"/>
      <c r="B31" s="232" t="s">
        <v>117</v>
      </c>
      <c r="C31" s="233">
        <v>0.0</v>
      </c>
      <c r="D31" s="223"/>
      <c r="E31" s="232" t="s">
        <v>1078</v>
      </c>
      <c r="F31" s="233">
        <v>0.0</v>
      </c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</row>
    <row r="32">
      <c r="A32" s="231"/>
      <c r="B32" s="232" t="s">
        <v>1046</v>
      </c>
      <c r="C32" s="233">
        <v>2.0</v>
      </c>
      <c r="D32" s="223"/>
      <c r="E32" s="232" t="s">
        <v>1079</v>
      </c>
      <c r="F32" s="233">
        <v>2.0</v>
      </c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</row>
    <row r="33">
      <c r="A33" s="231"/>
      <c r="B33" s="232" t="s">
        <v>1036</v>
      </c>
      <c r="C33" s="233">
        <v>0.0</v>
      </c>
      <c r="D33" s="223"/>
      <c r="E33" s="232" t="s">
        <v>1080</v>
      </c>
      <c r="F33" s="233">
        <v>0.0</v>
      </c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  <c r="AA33" s="223"/>
    </row>
    <row r="34">
      <c r="A34" s="231"/>
      <c r="B34" s="232" t="s">
        <v>1041</v>
      </c>
      <c r="C34" s="233">
        <v>0.0</v>
      </c>
      <c r="D34" s="223"/>
      <c r="E34" s="232" t="s">
        <v>1081</v>
      </c>
      <c r="F34" s="233">
        <v>2.0</v>
      </c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</row>
    <row r="35">
      <c r="A35" s="231"/>
      <c r="B35" s="232" t="s">
        <v>1082</v>
      </c>
      <c r="C35" s="233">
        <v>0.0</v>
      </c>
      <c r="D35" s="223"/>
      <c r="E35" s="232" t="s">
        <v>1083</v>
      </c>
      <c r="F35" s="233">
        <v>1.0</v>
      </c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</row>
    <row r="36">
      <c r="A36" s="231"/>
      <c r="B36" s="232" t="s">
        <v>1084</v>
      </c>
      <c r="C36" s="233">
        <v>0.0</v>
      </c>
      <c r="D36" s="223"/>
      <c r="E36" s="232" t="s">
        <v>1085</v>
      </c>
      <c r="F36" s="233">
        <v>1.0</v>
      </c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</row>
    <row r="37">
      <c r="A37" s="231"/>
      <c r="B37" s="232" t="s">
        <v>1086</v>
      </c>
      <c r="C37" s="233">
        <v>0.0</v>
      </c>
      <c r="D37" s="223"/>
      <c r="E37" s="232" t="s">
        <v>1087</v>
      </c>
      <c r="F37" s="233">
        <v>4.0</v>
      </c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</row>
    <row r="38">
      <c r="A38" s="231"/>
      <c r="B38" s="242" t="s">
        <v>1061</v>
      </c>
      <c r="C38" s="243">
        <v>0.0</v>
      </c>
      <c r="D38" s="223"/>
      <c r="E38" s="232" t="s">
        <v>1088</v>
      </c>
      <c r="F38" s="233">
        <v>0.0</v>
      </c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</row>
    <row r="39">
      <c r="A39" s="231"/>
      <c r="B39" s="231"/>
      <c r="C39" s="231"/>
      <c r="D39" s="223"/>
      <c r="E39" s="232" t="s">
        <v>1089</v>
      </c>
      <c r="F39" s="233">
        <v>0.0</v>
      </c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</row>
    <row r="40">
      <c r="A40" s="231"/>
      <c r="B40" s="250" t="s">
        <v>1090</v>
      </c>
      <c r="C40" s="251">
        <v>18500.0</v>
      </c>
      <c r="D40" s="223"/>
      <c r="E40" s="232" t="s">
        <v>1091</v>
      </c>
      <c r="F40" s="233">
        <v>0.0</v>
      </c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</row>
    <row r="41">
      <c r="A41" s="231"/>
      <c r="B41" s="232" t="s">
        <v>1020</v>
      </c>
      <c r="C41" s="233">
        <v>0.0</v>
      </c>
      <c r="D41" s="223"/>
      <c r="E41" s="242" t="s">
        <v>1092</v>
      </c>
      <c r="F41" s="243">
        <v>0.0</v>
      </c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</row>
    <row r="42">
      <c r="A42" s="231"/>
      <c r="B42" s="232" t="s">
        <v>225</v>
      </c>
      <c r="C42" s="233">
        <v>0.0</v>
      </c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</row>
    <row r="43">
      <c r="A43" s="231"/>
      <c r="B43" s="232" t="s">
        <v>1027</v>
      </c>
      <c r="C43" s="233">
        <v>0.0</v>
      </c>
      <c r="D43" s="223"/>
      <c r="E43" s="252" t="s">
        <v>1093</v>
      </c>
      <c r="F43" s="253">
        <v>20500.0</v>
      </c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</row>
    <row r="44">
      <c r="A44" s="231"/>
      <c r="B44" s="232" t="s">
        <v>1024</v>
      </c>
      <c r="C44" s="233">
        <v>0.0</v>
      </c>
      <c r="D44" s="223"/>
      <c r="E44" s="232" t="s">
        <v>1094</v>
      </c>
      <c r="F44" s="233">
        <v>0.0</v>
      </c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  <c r="AA44" s="223"/>
    </row>
    <row r="45">
      <c r="A45" s="231"/>
      <c r="B45" s="232" t="s">
        <v>1028</v>
      </c>
      <c r="C45" s="233">
        <v>0.0</v>
      </c>
      <c r="D45" s="223"/>
      <c r="E45" s="232" t="s">
        <v>225</v>
      </c>
      <c r="F45" s="233">
        <v>1.0</v>
      </c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3"/>
    </row>
    <row r="46">
      <c r="A46" s="231"/>
      <c r="B46" s="242" t="s">
        <v>1061</v>
      </c>
      <c r="C46" s="243">
        <v>0.0</v>
      </c>
      <c r="D46" s="223"/>
      <c r="E46" s="232" t="s">
        <v>1025</v>
      </c>
      <c r="F46" s="233">
        <v>0.0</v>
      </c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</row>
    <row r="47">
      <c r="A47" s="231"/>
      <c r="B47" s="231"/>
      <c r="C47" s="231"/>
      <c r="D47" s="223"/>
      <c r="E47" s="232" t="s">
        <v>1038</v>
      </c>
      <c r="F47" s="233">
        <v>0.0</v>
      </c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</row>
    <row r="48">
      <c r="A48" s="231"/>
      <c r="B48" s="231"/>
      <c r="C48" s="231"/>
      <c r="D48" s="223"/>
      <c r="E48" s="232" t="s">
        <v>1095</v>
      </c>
      <c r="F48" s="233">
        <v>0.0</v>
      </c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  <c r="AA48" s="223"/>
    </row>
    <row r="49">
      <c r="A49" s="231"/>
      <c r="B49" s="231"/>
      <c r="C49" s="231"/>
      <c r="D49" s="223"/>
      <c r="E49" s="232" t="s">
        <v>1096</v>
      </c>
      <c r="F49" s="233">
        <v>0.0</v>
      </c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  <c r="AA49" s="223"/>
    </row>
    <row r="50">
      <c r="A50" s="231"/>
      <c r="B50" s="231"/>
      <c r="C50" s="231"/>
      <c r="D50" s="223"/>
      <c r="E50" s="232" t="s">
        <v>1097</v>
      </c>
      <c r="F50" s="233">
        <v>0.0</v>
      </c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</row>
    <row r="51">
      <c r="A51" s="231"/>
      <c r="B51" s="231"/>
      <c r="C51" s="231"/>
      <c r="D51" s="223"/>
      <c r="E51" s="232" t="s">
        <v>1098</v>
      </c>
      <c r="F51" s="233">
        <v>0.0</v>
      </c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</row>
    <row r="52">
      <c r="A52" s="231"/>
      <c r="B52" s="231"/>
      <c r="C52" s="231"/>
      <c r="D52" s="223"/>
      <c r="E52" s="232" t="s">
        <v>1099</v>
      </c>
      <c r="F52" s="233">
        <v>0.0</v>
      </c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</row>
    <row r="53">
      <c r="A53" s="231"/>
      <c r="B53" s="231"/>
      <c r="C53" s="231"/>
      <c r="D53" s="223"/>
      <c r="E53" s="232" t="s">
        <v>1100</v>
      </c>
      <c r="F53" s="233">
        <v>0.0</v>
      </c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  <c r="AA53" s="223"/>
    </row>
    <row r="54">
      <c r="A54" s="231"/>
      <c r="B54" s="231"/>
      <c r="C54" s="231"/>
      <c r="D54" s="223"/>
      <c r="E54" s="242" t="s">
        <v>1101</v>
      </c>
      <c r="F54" s="243">
        <v>0.0</v>
      </c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</row>
    <row r="55">
      <c r="A55" s="231"/>
      <c r="B55" s="231"/>
      <c r="C55" s="231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</row>
    <row r="56">
      <c r="A56" s="231"/>
      <c r="B56" s="231"/>
      <c r="C56" s="231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</row>
    <row r="57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  <c r="AA57" s="223"/>
    </row>
    <row r="58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</row>
    <row r="59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  <c r="AA59" s="223"/>
    </row>
    <row r="60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</row>
    <row r="6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  <c r="AA61" s="223"/>
    </row>
    <row r="62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</row>
    <row r="63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  <c r="AA63" s="223"/>
    </row>
    <row r="64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  <c r="AA64" s="223"/>
    </row>
    <row r="65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3"/>
    </row>
    <row r="66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3"/>
    </row>
    <row r="67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3"/>
    </row>
    <row r="68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3"/>
    </row>
    <row r="69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  <c r="AA69" s="223"/>
    </row>
    <row r="70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</row>
    <row r="7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  <c r="AA71" s="223"/>
    </row>
    <row r="72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</row>
    <row r="73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  <c r="AA73" s="223"/>
    </row>
    <row r="74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</row>
    <row r="75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  <c r="AA75" s="223"/>
    </row>
    <row r="76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</row>
    <row r="77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  <c r="AA77" s="223"/>
    </row>
    <row r="78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</row>
    <row r="79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  <c r="Z79" s="223"/>
      <c r="AA79" s="223"/>
    </row>
    <row r="80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</row>
    <row r="8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  <c r="Z81" s="223"/>
      <c r="AA81" s="223"/>
    </row>
    <row r="82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  <c r="AA82" s="223"/>
    </row>
    <row r="83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  <c r="AA83" s="223"/>
    </row>
    <row r="84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  <c r="AA84" s="223"/>
    </row>
    <row r="85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  <c r="Z85" s="223"/>
      <c r="AA85" s="223"/>
    </row>
    <row r="86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  <c r="AA86" s="223"/>
    </row>
    <row r="87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  <c r="AA87" s="223"/>
    </row>
    <row r="88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  <c r="AA88" s="223"/>
    </row>
    <row r="89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  <c r="AA89" s="223"/>
    </row>
    <row r="90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  <c r="AA90" s="223"/>
    </row>
    <row r="9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  <c r="Z91" s="223"/>
      <c r="AA91" s="223"/>
    </row>
    <row r="92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  <c r="AA92" s="223"/>
    </row>
    <row r="93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  <c r="AA93" s="223"/>
    </row>
    <row r="94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  <c r="AA94" s="223"/>
    </row>
    <row r="95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  <c r="AA95" s="223"/>
    </row>
    <row r="96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  <c r="AA96" s="223"/>
    </row>
    <row r="97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  <c r="AA97" s="223"/>
    </row>
    <row r="98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  <c r="AA98" s="223"/>
    </row>
    <row r="99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  <c r="AA99" s="223"/>
    </row>
    <row r="100">
      <c r="A100" s="223"/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</row>
    <row r="101">
      <c r="A101" s="223"/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  <c r="AA101" s="223"/>
    </row>
    <row r="102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  <c r="AA102" s="223"/>
    </row>
    <row r="103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  <c r="AA103" s="223"/>
    </row>
    <row r="104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  <c r="AA104" s="223"/>
    </row>
    <row r="105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  <c r="AA105" s="223"/>
    </row>
    <row r="106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  <c r="AA106" s="223"/>
    </row>
    <row r="107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</row>
    <row r="108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</row>
    <row r="109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  <c r="AA109" s="223"/>
    </row>
    <row r="110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  <c r="AA110" s="223"/>
    </row>
    <row r="11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</row>
    <row r="112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  <c r="AA112" s="223"/>
    </row>
    <row r="113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  <c r="AA113" s="223"/>
    </row>
    <row r="114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  <c r="AA114" s="223"/>
    </row>
    <row r="115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  <c r="AA115" s="223"/>
    </row>
    <row r="116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  <c r="AA116" s="223"/>
    </row>
    <row r="117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  <c r="AA117" s="223"/>
    </row>
    <row r="118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  <c r="AA118" s="223"/>
    </row>
    <row r="119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  <c r="Z119" s="223"/>
      <c r="AA119" s="223"/>
    </row>
    <row r="120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  <c r="AA120" s="223"/>
    </row>
    <row r="12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  <c r="AA121" s="223"/>
    </row>
    <row r="122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</row>
    <row r="123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</row>
    <row r="124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  <c r="AA124" s="223"/>
    </row>
    <row r="125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  <c r="AA125" s="223"/>
    </row>
    <row r="126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  <c r="AA126" s="223"/>
    </row>
    <row r="127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  <c r="AA127" s="223"/>
    </row>
    <row r="128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  <c r="AA128" s="223"/>
    </row>
    <row r="129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  <c r="Z129" s="223"/>
      <c r="AA129" s="223"/>
    </row>
    <row r="130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  <c r="AA130" s="223"/>
    </row>
    <row r="131">
      <c r="A131" s="223"/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  <c r="AA131" s="223"/>
    </row>
    <row r="132">
      <c r="A132" s="223"/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  <c r="AA132" s="223"/>
    </row>
    <row r="133">
      <c r="A133" s="223"/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  <c r="AA133" s="223"/>
    </row>
    <row r="134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  <c r="AA134" s="223"/>
    </row>
    <row r="135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  <c r="AA135" s="223"/>
    </row>
    <row r="136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</row>
    <row r="137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  <c r="AA137" s="223"/>
    </row>
    <row r="138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  <c r="AA138" s="223"/>
    </row>
    <row r="139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  <c r="AA139" s="223"/>
    </row>
    <row r="140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</row>
    <row r="14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  <c r="AA141" s="223"/>
    </row>
    <row r="142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  <c r="AA142" s="223"/>
    </row>
    <row r="143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  <c r="AA143" s="223"/>
    </row>
    <row r="144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</row>
    <row r="145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  <c r="AA145" s="223"/>
    </row>
    <row r="146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</row>
    <row r="147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  <c r="AA147" s="223"/>
    </row>
    <row r="148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  <c r="AA148" s="223"/>
    </row>
    <row r="149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  <c r="AA149" s="223"/>
    </row>
    <row r="150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  <c r="AA150" s="223"/>
    </row>
    <row r="15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  <c r="Z151" s="223"/>
      <c r="AA151" s="223"/>
    </row>
    <row r="152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  <c r="AA152" s="223"/>
    </row>
    <row r="153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  <c r="AA153" s="223"/>
    </row>
    <row r="154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  <c r="AA154" s="223"/>
    </row>
    <row r="155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  <c r="Z155" s="223"/>
      <c r="AA155" s="223"/>
    </row>
    <row r="156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  <c r="AA156" s="223"/>
    </row>
    <row r="157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  <c r="AA157" s="223"/>
    </row>
    <row r="158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  <c r="AA158" s="223"/>
    </row>
    <row r="159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  <c r="AA159" s="223"/>
    </row>
    <row r="160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  <c r="AA160" s="223"/>
    </row>
    <row r="16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  <c r="AA161" s="223"/>
    </row>
    <row r="162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  <c r="AA162" s="223"/>
    </row>
    <row r="163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  <c r="AA163" s="223"/>
    </row>
    <row r="164">
      <c r="A164" s="223"/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  <c r="AA164" s="223"/>
    </row>
    <row r="165">
      <c r="A165" s="223"/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  <c r="AA165" s="223"/>
    </row>
    <row r="166">
      <c r="A166" s="223"/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  <c r="AA166" s="223"/>
    </row>
    <row r="167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  <c r="AA167" s="223"/>
    </row>
    <row r="168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  <c r="AA168" s="223"/>
    </row>
    <row r="169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  <c r="AA169" s="223"/>
    </row>
    <row r="170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  <c r="AA170" s="223"/>
    </row>
    <row r="17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  <c r="Z171" s="223"/>
      <c r="AA171" s="223"/>
    </row>
    <row r="172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  <c r="AA172" s="223"/>
    </row>
    <row r="173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  <c r="Z173" s="223"/>
      <c r="AA173" s="223"/>
    </row>
    <row r="174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  <c r="AA174" s="223"/>
    </row>
    <row r="175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  <c r="AA175" s="223"/>
    </row>
    <row r="176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  <c r="AA176" s="223"/>
    </row>
    <row r="177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  <c r="AA177" s="223"/>
    </row>
    <row r="178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  <c r="AA178" s="223"/>
    </row>
    <row r="179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  <c r="Z179" s="223"/>
      <c r="AA179" s="223"/>
    </row>
    <row r="180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  <c r="AA180" s="223"/>
    </row>
    <row r="18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  <c r="Z181" s="223"/>
      <c r="AA181" s="223"/>
    </row>
    <row r="182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  <c r="AA182" s="223"/>
    </row>
    <row r="183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  <c r="AA183" s="223"/>
    </row>
    <row r="184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  <c r="AA184" s="223"/>
    </row>
    <row r="185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  <c r="AA185" s="223"/>
    </row>
    <row r="186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  <c r="AA186" s="223"/>
    </row>
    <row r="187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  <c r="AA187" s="223"/>
    </row>
    <row r="188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  <c r="AA188" s="223"/>
    </row>
    <row r="189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  <c r="AA189" s="223"/>
    </row>
    <row r="190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  <c r="AA190" s="223"/>
    </row>
    <row r="19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  <c r="Z191" s="223"/>
      <c r="AA191" s="223"/>
    </row>
    <row r="192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  <c r="AA192" s="223"/>
    </row>
    <row r="193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  <c r="AA193" s="223"/>
    </row>
    <row r="194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  <c r="AA194" s="223"/>
    </row>
    <row r="195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  <c r="AA195" s="223"/>
    </row>
    <row r="196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  <c r="AA196" s="223"/>
    </row>
    <row r="197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  <c r="AA197" s="223"/>
    </row>
    <row r="198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  <c r="AA198" s="223"/>
    </row>
    <row r="199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  <c r="AA199" s="223"/>
    </row>
    <row r="200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  <c r="AA200" s="223"/>
    </row>
    <row r="20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  <c r="Z201" s="223"/>
      <c r="AA201" s="223"/>
    </row>
    <row r="202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  <c r="AA202" s="223"/>
    </row>
    <row r="203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  <c r="AA203" s="223"/>
    </row>
    <row r="204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  <c r="AA204" s="223"/>
    </row>
    <row r="205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  <c r="AA205" s="223"/>
    </row>
    <row r="206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  <c r="AA206" s="223"/>
    </row>
    <row r="207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  <c r="AA207" s="223"/>
    </row>
    <row r="208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  <c r="AA208" s="223"/>
    </row>
    <row r="209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  <c r="AA209" s="223"/>
    </row>
    <row r="210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  <c r="AA210" s="223"/>
    </row>
    <row r="21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  <c r="AA211" s="223"/>
    </row>
    <row r="212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  <c r="AA212" s="223"/>
    </row>
    <row r="213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  <c r="AA213" s="223"/>
    </row>
    <row r="214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  <c r="AA214" s="223"/>
    </row>
    <row r="215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  <c r="AA215" s="223"/>
    </row>
    <row r="216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  <c r="AA216" s="223"/>
    </row>
    <row r="217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  <c r="AA217" s="223"/>
    </row>
    <row r="218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  <c r="AA218" s="223"/>
    </row>
    <row r="219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  <c r="AA219" s="223"/>
    </row>
    <row r="220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  <c r="AA220" s="223"/>
    </row>
    <row r="22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  <c r="Z221" s="223"/>
      <c r="AA221" s="223"/>
    </row>
    <row r="222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  <c r="AA222" s="223"/>
    </row>
    <row r="223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  <c r="Z223" s="223"/>
      <c r="AA223" s="223"/>
    </row>
    <row r="224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  <c r="AA224" s="223"/>
    </row>
    <row r="225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  <c r="AA225" s="223"/>
    </row>
    <row r="226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  <c r="AA226" s="223"/>
    </row>
    <row r="227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  <c r="Z227" s="223"/>
      <c r="AA227" s="223"/>
    </row>
    <row r="228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  <c r="AA228" s="223"/>
    </row>
    <row r="229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  <c r="Z229" s="223"/>
      <c r="AA229" s="223"/>
    </row>
    <row r="230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  <c r="AA230" s="223"/>
    </row>
    <row r="23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  <c r="Z231" s="223"/>
      <c r="AA231" s="223"/>
    </row>
    <row r="232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  <c r="AA232" s="223"/>
    </row>
    <row r="233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  <c r="AA233" s="223"/>
    </row>
    <row r="234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  <c r="AA234" s="223"/>
    </row>
    <row r="235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  <c r="Z235" s="223"/>
      <c r="AA235" s="223"/>
    </row>
    <row r="236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  <c r="AA236" s="223"/>
    </row>
    <row r="237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  <c r="Z237" s="223"/>
      <c r="AA237" s="223"/>
    </row>
    <row r="238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  <c r="AA238" s="223"/>
    </row>
    <row r="239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  <c r="Z239" s="223"/>
      <c r="AA239" s="223"/>
    </row>
    <row r="240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  <c r="AA240" s="223"/>
    </row>
    <row r="24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  <c r="Z241" s="223"/>
      <c r="AA241" s="223"/>
    </row>
    <row r="242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  <c r="AA242" s="223"/>
    </row>
    <row r="243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  <c r="Z243" s="223"/>
      <c r="AA243" s="223"/>
    </row>
    <row r="244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  <c r="AA244" s="223"/>
    </row>
    <row r="245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  <c r="Z245" s="223"/>
      <c r="AA245" s="223"/>
    </row>
    <row r="246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  <c r="AA246" s="223"/>
    </row>
    <row r="247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  <c r="Z247" s="223"/>
      <c r="AA247" s="223"/>
    </row>
    <row r="248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  <c r="AA248" s="223"/>
    </row>
    <row r="249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  <c r="Z249" s="223"/>
      <c r="AA249" s="223"/>
    </row>
    <row r="250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  <c r="AA250" s="223"/>
    </row>
    <row r="25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  <c r="AA251" s="223"/>
    </row>
    <row r="252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  <c r="AA252" s="223"/>
    </row>
    <row r="253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  <c r="Z253" s="223"/>
      <c r="AA253" s="223"/>
    </row>
    <row r="254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  <c r="AA254" s="223"/>
    </row>
    <row r="255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  <c r="Z255" s="223"/>
      <c r="AA255" s="223"/>
    </row>
    <row r="256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  <c r="AA256" s="223"/>
    </row>
    <row r="257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  <c r="Z257" s="223"/>
      <c r="AA257" s="223"/>
    </row>
    <row r="258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  <c r="AA258" s="223"/>
    </row>
    <row r="259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  <c r="Z259" s="223"/>
      <c r="AA259" s="223"/>
    </row>
    <row r="260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  <c r="AA260" s="223"/>
    </row>
    <row r="26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  <c r="Z261" s="223"/>
      <c r="AA261" s="223"/>
    </row>
    <row r="262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  <c r="AA262" s="223"/>
    </row>
    <row r="263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  <c r="Z263" s="223"/>
      <c r="AA263" s="223"/>
    </row>
    <row r="264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  <c r="AA264" s="223"/>
    </row>
    <row r="265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  <c r="Z265" s="223"/>
      <c r="AA265" s="223"/>
    </row>
    <row r="266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  <c r="AA266" s="223"/>
    </row>
    <row r="267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  <c r="Z267" s="223"/>
      <c r="AA267" s="223"/>
    </row>
    <row r="268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  <c r="AA268" s="223"/>
    </row>
    <row r="269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  <c r="AA269" s="223"/>
    </row>
    <row r="270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  <c r="AA270" s="223"/>
    </row>
    <row r="27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  <c r="AA271" s="223"/>
    </row>
    <row r="272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  <c r="AA272" s="223"/>
    </row>
    <row r="273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  <c r="Z273" s="223"/>
      <c r="AA273" s="223"/>
    </row>
    <row r="274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  <c r="AA274" s="223"/>
    </row>
    <row r="275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  <c r="Z275" s="223"/>
      <c r="AA275" s="223"/>
    </row>
    <row r="276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  <c r="AA276" s="223"/>
    </row>
    <row r="277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  <c r="Z277" s="223"/>
      <c r="AA277" s="223"/>
    </row>
    <row r="278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  <c r="AA278" s="223"/>
    </row>
    <row r="279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  <c r="Z279" s="223"/>
      <c r="AA279" s="223"/>
    </row>
    <row r="280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  <c r="AA280" s="223"/>
    </row>
    <row r="28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  <c r="Z281" s="223"/>
      <c r="AA281" s="223"/>
    </row>
    <row r="282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  <c r="AA282" s="223"/>
    </row>
    <row r="283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  <c r="Z283" s="223"/>
      <c r="AA283" s="223"/>
    </row>
    <row r="284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  <c r="AA284" s="223"/>
    </row>
    <row r="285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  <c r="Z285" s="223"/>
      <c r="AA285" s="223"/>
    </row>
    <row r="286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  <c r="AA286" s="223"/>
    </row>
    <row r="287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  <c r="AA287" s="223"/>
    </row>
    <row r="288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  <c r="AA288" s="223"/>
    </row>
    <row r="289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  <c r="Z289" s="223"/>
      <c r="AA289" s="223"/>
    </row>
    <row r="290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  <c r="AA290" s="223"/>
    </row>
    <row r="29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  <c r="Z291" s="223"/>
      <c r="AA291" s="223"/>
    </row>
    <row r="292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  <c r="AA292" s="223"/>
    </row>
    <row r="293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  <c r="AA293" s="223"/>
    </row>
    <row r="294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  <c r="AA294" s="223"/>
    </row>
    <row r="295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  <c r="Z295" s="223"/>
      <c r="AA295" s="223"/>
    </row>
    <row r="296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  <c r="AA296" s="223"/>
    </row>
    <row r="297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  <c r="Z297" s="223"/>
      <c r="AA297" s="223"/>
    </row>
    <row r="298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  <c r="AA298" s="223"/>
    </row>
    <row r="299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  <c r="AA299" s="223"/>
    </row>
    <row r="300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  <c r="AA300" s="223"/>
    </row>
    <row r="30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  <c r="AA301" s="223"/>
    </row>
    <row r="302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  <c r="AA302" s="223"/>
    </row>
    <row r="303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  <c r="AA303" s="223"/>
    </row>
    <row r="304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  <c r="AA304" s="223"/>
    </row>
    <row r="305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  <c r="Z305" s="223"/>
      <c r="AA305" s="223"/>
    </row>
    <row r="306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  <c r="AA306" s="223"/>
    </row>
    <row r="307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  <c r="Z307" s="223"/>
      <c r="AA307" s="223"/>
    </row>
    <row r="308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  <c r="AA308" s="223"/>
    </row>
    <row r="309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  <c r="Z309" s="223"/>
      <c r="AA309" s="223"/>
    </row>
    <row r="310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  <c r="AA310" s="223"/>
    </row>
    <row r="31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  <c r="AA311" s="223"/>
    </row>
    <row r="312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  <c r="AA312" s="223"/>
    </row>
    <row r="313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  <c r="Z313" s="223"/>
      <c r="AA313" s="223"/>
    </row>
    <row r="314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  <c r="AA314" s="223"/>
    </row>
    <row r="315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  <c r="Z315" s="223"/>
      <c r="AA315" s="223"/>
    </row>
    <row r="316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  <c r="AA316" s="223"/>
    </row>
    <row r="317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  <c r="Z317" s="223"/>
      <c r="AA317" s="223"/>
    </row>
    <row r="318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  <c r="AA318" s="223"/>
    </row>
    <row r="319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  <c r="Z319" s="223"/>
      <c r="AA319" s="223"/>
    </row>
    <row r="320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  <c r="AA320" s="223"/>
    </row>
    <row r="32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  <c r="AA321" s="223"/>
    </row>
    <row r="322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  <c r="AA322" s="223"/>
    </row>
    <row r="323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  <c r="Z323" s="223"/>
      <c r="AA323" s="223"/>
    </row>
    <row r="324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  <c r="AA324" s="223"/>
    </row>
    <row r="325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  <c r="Z325" s="223"/>
      <c r="AA325" s="223"/>
    </row>
    <row r="326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  <c r="AA326" s="223"/>
    </row>
    <row r="327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  <c r="Z327" s="223"/>
      <c r="AA327" s="223"/>
    </row>
    <row r="328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  <c r="AA328" s="223"/>
    </row>
    <row r="329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  <c r="Z329" s="223"/>
      <c r="AA329" s="223"/>
    </row>
    <row r="330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  <c r="AA330" s="223"/>
    </row>
    <row r="33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  <c r="Z331" s="223"/>
      <c r="AA331" s="223"/>
    </row>
    <row r="332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  <c r="AA332" s="223"/>
    </row>
    <row r="333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  <c r="Z333" s="223"/>
      <c r="AA333" s="223"/>
    </row>
    <row r="334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  <c r="AA334" s="223"/>
    </row>
    <row r="335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  <c r="Z335" s="223"/>
      <c r="AA335" s="223"/>
    </row>
    <row r="336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  <c r="AA336" s="223"/>
    </row>
    <row r="337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  <c r="Z337" s="223"/>
      <c r="AA337" s="223"/>
    </row>
    <row r="338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  <c r="AA338" s="223"/>
    </row>
    <row r="339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  <c r="AA339" s="223"/>
    </row>
    <row r="340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  <c r="AA340" s="223"/>
    </row>
    <row r="34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  <c r="Z341" s="223"/>
      <c r="AA341" s="223"/>
    </row>
    <row r="342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  <c r="AA342" s="223"/>
    </row>
    <row r="343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  <c r="Z343" s="223"/>
      <c r="AA343" s="223"/>
    </row>
    <row r="344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  <c r="AA344" s="223"/>
    </row>
    <row r="345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  <c r="Z345" s="223"/>
      <c r="AA345" s="223"/>
    </row>
    <row r="346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  <c r="AA346" s="223"/>
    </row>
    <row r="347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  <c r="Z347" s="223"/>
      <c r="AA347" s="223"/>
    </row>
    <row r="348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  <c r="AA348" s="223"/>
    </row>
    <row r="349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  <c r="Z349" s="223"/>
      <c r="AA349" s="223"/>
    </row>
    <row r="350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  <c r="AA350" s="223"/>
    </row>
    <row r="35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  <c r="Z351" s="223"/>
      <c r="AA351" s="223"/>
    </row>
    <row r="352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  <c r="AA352" s="223"/>
    </row>
    <row r="353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  <c r="Z353" s="223"/>
      <c r="AA353" s="223"/>
    </row>
    <row r="354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  <c r="AA354" s="223"/>
    </row>
    <row r="355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  <c r="Z355" s="223"/>
      <c r="AA355" s="223"/>
    </row>
    <row r="356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  <c r="AA356" s="223"/>
    </row>
    <row r="357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  <c r="Z357" s="223"/>
      <c r="AA357" s="223"/>
    </row>
    <row r="358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  <c r="AA358" s="223"/>
    </row>
    <row r="359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  <c r="Z359" s="223"/>
      <c r="AA359" s="223"/>
    </row>
    <row r="360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  <c r="AA360" s="223"/>
    </row>
    <row r="36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  <c r="Z361" s="223"/>
      <c r="AA361" s="223"/>
    </row>
    <row r="362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  <c r="AA362" s="223"/>
    </row>
    <row r="363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  <c r="Z363" s="223"/>
      <c r="AA363" s="223"/>
    </row>
    <row r="364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  <c r="AA364" s="223"/>
    </row>
    <row r="365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  <c r="Z365" s="223"/>
      <c r="AA365" s="223"/>
    </row>
    <row r="366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  <c r="AA366" s="223"/>
    </row>
    <row r="367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  <c r="Z367" s="223"/>
      <c r="AA367" s="223"/>
    </row>
    <row r="368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  <c r="AA368" s="223"/>
    </row>
    <row r="369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  <c r="Z369" s="223"/>
      <c r="AA369" s="223"/>
    </row>
    <row r="370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  <c r="AA370" s="223"/>
    </row>
    <row r="37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  <c r="Z371" s="223"/>
      <c r="AA371" s="223"/>
    </row>
    <row r="372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  <c r="AA372" s="223"/>
    </row>
    <row r="373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  <c r="AA373" s="223"/>
    </row>
    <row r="374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  <c r="AA374" s="223"/>
    </row>
    <row r="375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  <c r="AA375" s="223"/>
    </row>
    <row r="376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  <c r="AA376" s="223"/>
    </row>
    <row r="377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  <c r="AA377" s="223"/>
    </row>
    <row r="378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  <c r="AA378" s="223"/>
    </row>
    <row r="379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  <c r="AA379" s="223"/>
    </row>
    <row r="380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  <c r="AA380" s="223"/>
    </row>
    <row r="38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  <c r="AA381" s="223"/>
    </row>
    <row r="382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  <c r="AA382" s="223"/>
    </row>
    <row r="383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  <c r="AA383" s="223"/>
    </row>
    <row r="384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  <c r="AA384" s="223"/>
    </row>
    <row r="385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  <c r="AA385" s="223"/>
    </row>
    <row r="386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  <c r="AA386" s="223"/>
    </row>
    <row r="387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  <c r="AA387" s="223"/>
    </row>
    <row r="388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  <c r="AA388" s="223"/>
    </row>
    <row r="389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  <c r="AA389" s="223"/>
    </row>
    <row r="390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  <c r="AA390" s="223"/>
    </row>
    <row r="39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  <c r="AA391" s="223"/>
    </row>
    <row r="392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  <c r="AA392" s="223"/>
    </row>
    <row r="393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  <c r="AA393" s="223"/>
    </row>
    <row r="394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  <c r="AA394" s="223"/>
    </row>
    <row r="395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  <c r="AA395" s="223"/>
    </row>
    <row r="396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  <c r="AA396" s="223"/>
    </row>
    <row r="397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  <c r="AA397" s="223"/>
    </row>
    <row r="398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  <c r="AA398" s="223"/>
    </row>
    <row r="399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  <c r="AA399" s="223"/>
    </row>
    <row r="400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  <c r="AA400" s="223"/>
    </row>
    <row r="40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  <c r="AA401" s="223"/>
    </row>
    <row r="402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  <c r="AA402" s="223"/>
    </row>
    <row r="403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  <c r="AA403" s="223"/>
    </row>
    <row r="404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  <c r="AA404" s="223"/>
    </row>
    <row r="405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  <c r="AA405" s="223"/>
    </row>
    <row r="406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  <c r="AA406" s="223"/>
    </row>
    <row r="407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  <c r="AA407" s="223"/>
    </row>
    <row r="408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  <c r="AA408" s="223"/>
    </row>
    <row r="409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  <c r="AA409" s="223"/>
    </row>
    <row r="410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  <c r="AA410" s="223"/>
    </row>
    <row r="41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  <c r="AA411" s="223"/>
    </row>
    <row r="412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  <c r="AA412" s="223"/>
    </row>
    <row r="413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  <c r="AA413" s="223"/>
    </row>
    <row r="414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  <c r="AA414" s="223"/>
    </row>
    <row r="415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  <c r="Z415" s="223"/>
      <c r="AA415" s="223"/>
    </row>
    <row r="416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  <c r="Z416" s="223"/>
      <c r="AA416" s="223"/>
    </row>
    <row r="417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  <c r="Z417" s="223"/>
      <c r="AA417" s="223"/>
    </row>
    <row r="418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  <c r="Z418" s="223"/>
      <c r="AA418" s="223"/>
    </row>
    <row r="419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  <c r="Z419" s="223"/>
      <c r="AA419" s="223"/>
    </row>
    <row r="420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  <c r="Z420" s="223"/>
      <c r="AA420" s="223"/>
    </row>
    <row r="42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  <c r="AA421" s="223"/>
    </row>
    <row r="422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  <c r="AA422" s="223"/>
    </row>
    <row r="423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  <c r="Z423" s="223"/>
      <c r="AA423" s="223"/>
    </row>
    <row r="424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  <c r="Z424" s="223"/>
      <c r="AA424" s="223"/>
    </row>
    <row r="425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  <c r="Z425" s="223"/>
      <c r="AA425" s="223"/>
    </row>
    <row r="426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  <c r="Z426" s="223"/>
      <c r="AA426" s="223"/>
    </row>
    <row r="427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  <c r="Z427" s="223"/>
      <c r="AA427" s="223"/>
    </row>
    <row r="428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  <c r="Z428" s="223"/>
      <c r="AA428" s="223"/>
    </row>
    <row r="429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  <c r="Z429" s="223"/>
      <c r="AA429" s="223"/>
    </row>
    <row r="430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  <c r="AA430" s="223"/>
    </row>
    <row r="43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  <c r="Z431" s="223"/>
      <c r="AA431" s="223"/>
    </row>
    <row r="432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  <c r="Z432" s="223"/>
      <c r="AA432" s="223"/>
    </row>
    <row r="433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  <c r="Z433" s="223"/>
      <c r="AA433" s="223"/>
    </row>
    <row r="434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  <c r="Z434" s="223"/>
      <c r="AA434" s="223"/>
    </row>
    <row r="435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  <c r="Z435" s="223"/>
      <c r="AA435" s="223"/>
    </row>
    <row r="436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  <c r="AA436" s="223"/>
    </row>
    <row r="437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  <c r="Z437" s="223"/>
      <c r="AA437" s="223"/>
    </row>
    <row r="438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  <c r="Z438" s="223"/>
      <c r="AA438" s="223"/>
    </row>
    <row r="439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  <c r="Z439" s="223"/>
      <c r="AA439" s="223"/>
    </row>
    <row r="440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  <c r="AA440" s="223"/>
    </row>
    <row r="44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  <c r="Z441" s="223"/>
      <c r="AA441" s="223"/>
    </row>
    <row r="442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  <c r="Z442" s="223"/>
      <c r="AA442" s="223"/>
    </row>
    <row r="443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  <c r="AA443" s="223"/>
    </row>
    <row r="444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  <c r="Z444" s="223"/>
      <c r="AA444" s="223"/>
    </row>
    <row r="445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  <c r="AA445" s="223"/>
    </row>
    <row r="446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  <c r="AA446" s="223"/>
    </row>
    <row r="447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  <c r="AA447" s="223"/>
    </row>
    <row r="448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  <c r="AA448" s="223"/>
    </row>
    <row r="449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  <c r="AA449" s="223"/>
    </row>
    <row r="450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  <c r="AA450" s="223"/>
    </row>
    <row r="45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  <c r="AA451" s="223"/>
    </row>
    <row r="452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  <c r="AA452" s="223"/>
    </row>
    <row r="453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  <c r="AA453" s="223"/>
    </row>
    <row r="454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  <c r="AA454" s="223"/>
    </row>
    <row r="455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  <c r="AA455" s="223"/>
    </row>
    <row r="456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  <c r="AA456" s="223"/>
    </row>
    <row r="457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  <c r="AA457" s="223"/>
    </row>
    <row r="458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  <c r="AA458" s="223"/>
    </row>
    <row r="459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  <c r="AA459" s="223"/>
    </row>
    <row r="460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  <c r="AA460" s="223"/>
    </row>
    <row r="46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  <c r="AA461" s="223"/>
    </row>
    <row r="462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  <c r="AA462" s="223"/>
    </row>
    <row r="463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  <c r="AA463" s="223"/>
    </row>
    <row r="464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  <c r="AA464" s="223"/>
    </row>
    <row r="465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  <c r="AA465" s="223"/>
    </row>
    <row r="466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  <c r="AA466" s="223"/>
    </row>
    <row r="467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  <c r="AA467" s="223"/>
    </row>
    <row r="468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  <c r="AA468" s="223"/>
    </row>
    <row r="469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  <c r="AA469" s="223"/>
    </row>
    <row r="470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  <c r="AA470" s="223"/>
    </row>
    <row r="47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  <c r="AA471" s="223"/>
    </row>
    <row r="472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  <c r="AA472" s="223"/>
    </row>
    <row r="473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  <c r="AA473" s="223"/>
    </row>
    <row r="474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  <c r="AA474" s="223"/>
    </row>
    <row r="475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  <c r="AA475" s="223"/>
    </row>
    <row r="476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  <c r="AA476" s="223"/>
    </row>
    <row r="477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  <c r="AA477" s="223"/>
    </row>
    <row r="478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  <c r="AA478" s="223"/>
    </row>
    <row r="479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  <c r="AA479" s="223"/>
    </row>
    <row r="480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  <c r="AA480" s="223"/>
    </row>
    <row r="48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  <c r="AA481" s="223"/>
    </row>
    <row r="482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  <c r="AA482" s="223"/>
    </row>
    <row r="483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  <c r="AA483" s="223"/>
    </row>
    <row r="484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  <c r="AA484" s="223"/>
    </row>
    <row r="485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  <c r="AA485" s="223"/>
    </row>
    <row r="486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  <c r="AA486" s="223"/>
    </row>
    <row r="487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  <c r="AA487" s="223"/>
    </row>
    <row r="488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  <c r="AA488" s="223"/>
    </row>
    <row r="489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  <c r="AA489" s="223"/>
    </row>
    <row r="490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  <c r="AA490" s="223"/>
    </row>
    <row r="49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  <c r="AA491" s="223"/>
    </row>
    <row r="492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  <c r="AA492" s="223"/>
    </row>
    <row r="493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  <c r="AA493" s="223"/>
    </row>
    <row r="494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  <c r="AA494" s="223"/>
    </row>
    <row r="495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  <c r="AA495" s="223"/>
    </row>
    <row r="496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  <c r="AA496" s="223"/>
    </row>
    <row r="497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  <c r="AA497" s="223"/>
    </row>
    <row r="498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  <c r="AA498" s="223"/>
    </row>
    <row r="499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  <c r="AA499" s="223"/>
    </row>
    <row r="500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  <c r="AA500" s="223"/>
    </row>
    <row r="50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  <c r="AA501" s="223"/>
    </row>
    <row r="502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  <c r="AA502" s="223"/>
    </row>
    <row r="503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  <c r="AA503" s="223"/>
    </row>
    <row r="504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  <c r="AA504" s="223"/>
    </row>
    <row r="505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  <c r="AA505" s="223"/>
    </row>
    <row r="506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  <c r="AA506" s="223"/>
    </row>
    <row r="507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  <c r="AA507" s="223"/>
    </row>
    <row r="508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  <c r="AA508" s="223"/>
    </row>
    <row r="509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  <c r="AA509" s="223"/>
    </row>
    <row r="510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  <c r="AA510" s="223"/>
    </row>
    <row r="51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  <c r="AA511" s="223"/>
    </row>
    <row r="512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  <c r="AA512" s="223"/>
    </row>
    <row r="513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  <c r="AA513" s="223"/>
    </row>
    <row r="514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  <c r="AA514" s="223"/>
    </row>
    <row r="515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  <c r="AA515" s="223"/>
    </row>
    <row r="516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  <c r="AA516" s="223"/>
    </row>
    <row r="517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  <c r="AA517" s="223"/>
    </row>
    <row r="518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  <c r="AA518" s="223"/>
    </row>
    <row r="519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  <c r="AA519" s="223"/>
    </row>
    <row r="520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  <c r="AA520" s="223"/>
    </row>
    <row r="52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  <c r="AA521" s="223"/>
    </row>
    <row r="522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  <c r="AA522" s="223"/>
    </row>
    <row r="523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  <c r="AA523" s="223"/>
    </row>
    <row r="524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  <c r="AA524" s="223"/>
    </row>
    <row r="525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  <c r="AA525" s="223"/>
    </row>
    <row r="526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  <c r="AA526" s="223"/>
    </row>
    <row r="527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  <c r="AA527" s="223"/>
    </row>
    <row r="528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  <c r="AA528" s="223"/>
    </row>
    <row r="529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  <c r="AA529" s="223"/>
    </row>
    <row r="530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  <c r="AA530" s="223"/>
    </row>
    <row r="53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  <c r="AA531" s="223"/>
    </row>
    <row r="532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  <c r="AA532" s="223"/>
    </row>
    <row r="533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  <c r="AA533" s="223"/>
    </row>
    <row r="534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  <c r="AA534" s="223"/>
    </row>
    <row r="535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  <c r="AA535" s="223"/>
    </row>
    <row r="536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  <c r="AA536" s="223"/>
    </row>
    <row r="537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  <c r="AA537" s="223"/>
    </row>
    <row r="538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  <c r="AA538" s="223"/>
    </row>
    <row r="539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  <c r="AA539" s="223"/>
    </row>
    <row r="540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  <c r="AA540" s="223"/>
    </row>
    <row r="54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  <c r="AA541" s="223"/>
    </row>
    <row r="542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  <c r="AA542" s="223"/>
    </row>
    <row r="543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  <c r="AA543" s="223"/>
    </row>
    <row r="544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  <c r="AA544" s="223"/>
    </row>
    <row r="545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  <c r="Z545" s="223"/>
      <c r="AA545" s="223"/>
    </row>
    <row r="546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  <c r="Z546" s="223"/>
      <c r="AA546" s="223"/>
    </row>
    <row r="547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  <c r="AA547" s="223"/>
    </row>
    <row r="548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  <c r="Z548" s="223"/>
      <c r="AA548" s="223"/>
    </row>
    <row r="549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  <c r="Z549" s="223"/>
      <c r="AA549" s="223"/>
    </row>
    <row r="550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  <c r="AA550" s="223"/>
    </row>
    <row r="55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  <c r="AA551" s="223"/>
    </row>
    <row r="552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  <c r="Z552" s="223"/>
      <c r="AA552" s="223"/>
    </row>
    <row r="553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  <c r="AA553" s="223"/>
    </row>
    <row r="554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  <c r="Z554" s="223"/>
      <c r="AA554" s="223"/>
    </row>
    <row r="555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  <c r="Z555" s="223"/>
      <c r="AA555" s="223"/>
    </row>
    <row r="556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  <c r="Z556" s="223"/>
      <c r="AA556" s="223"/>
    </row>
    <row r="557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  <c r="AA557" s="223"/>
    </row>
    <row r="558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  <c r="AA558" s="223"/>
    </row>
    <row r="559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  <c r="AA559" s="223"/>
    </row>
    <row r="560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  <c r="AA560" s="223"/>
    </row>
    <row r="56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  <c r="Z561" s="223"/>
      <c r="AA561" s="223"/>
    </row>
    <row r="562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  <c r="AA562" s="223"/>
    </row>
    <row r="563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  <c r="AA563" s="223"/>
    </row>
    <row r="564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  <c r="Z564" s="223"/>
      <c r="AA564" s="223"/>
    </row>
    <row r="565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  <c r="Z565" s="223"/>
      <c r="AA565" s="223"/>
    </row>
    <row r="566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  <c r="Z566" s="223"/>
      <c r="AA566" s="223"/>
    </row>
    <row r="567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  <c r="Z567" s="223"/>
      <c r="AA567" s="223"/>
    </row>
    <row r="568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  <c r="AA568" s="223"/>
    </row>
    <row r="569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  <c r="Z569" s="223"/>
      <c r="AA569" s="223"/>
    </row>
    <row r="570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  <c r="Z570" s="223"/>
      <c r="AA570" s="223"/>
    </row>
    <row r="57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  <c r="Z571" s="223"/>
      <c r="AA571" s="223"/>
    </row>
    <row r="572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  <c r="Z572" s="223"/>
      <c r="AA572" s="223"/>
    </row>
    <row r="573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  <c r="Z573" s="223"/>
      <c r="AA573" s="223"/>
    </row>
    <row r="574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  <c r="Z574" s="223"/>
      <c r="AA574" s="223"/>
    </row>
    <row r="575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  <c r="Z575" s="223"/>
      <c r="AA575" s="223"/>
    </row>
    <row r="576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  <c r="Z576" s="223"/>
      <c r="AA576" s="223"/>
    </row>
    <row r="577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  <c r="Z577" s="223"/>
      <c r="AA577" s="223"/>
    </row>
    <row r="578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  <c r="Z578" s="223"/>
      <c r="AA578" s="223"/>
    </row>
    <row r="579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  <c r="Z579" s="223"/>
      <c r="AA579" s="223"/>
    </row>
    <row r="580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  <c r="Z580" s="223"/>
      <c r="AA580" s="223"/>
    </row>
    <row r="58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  <c r="AA581" s="223"/>
    </row>
    <row r="582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  <c r="AA582" s="223"/>
    </row>
    <row r="583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  <c r="AA583" s="223"/>
    </row>
    <row r="584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  <c r="AA584" s="223"/>
    </row>
    <row r="585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  <c r="Z585" s="223"/>
      <c r="AA585" s="223"/>
    </row>
    <row r="586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  <c r="AA586" s="223"/>
    </row>
    <row r="587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  <c r="Z587" s="223"/>
      <c r="AA587" s="223"/>
    </row>
    <row r="588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  <c r="Z588" s="223"/>
      <c r="AA588" s="223"/>
    </row>
    <row r="589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  <c r="AA589" s="223"/>
    </row>
    <row r="590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  <c r="Z590" s="223"/>
      <c r="AA590" s="223"/>
    </row>
    <row r="59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  <c r="Z591" s="223"/>
      <c r="AA591" s="223"/>
    </row>
    <row r="592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  <c r="AA592" s="223"/>
    </row>
    <row r="593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  <c r="Z593" s="223"/>
      <c r="AA593" s="223"/>
    </row>
    <row r="594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  <c r="Z594" s="223"/>
      <c r="AA594" s="223"/>
    </row>
    <row r="595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  <c r="Z595" s="223"/>
      <c r="AA595" s="223"/>
    </row>
    <row r="596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  <c r="Z596" s="223"/>
      <c r="AA596" s="223"/>
    </row>
    <row r="597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  <c r="Z597" s="223"/>
      <c r="AA597" s="223"/>
    </row>
    <row r="598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  <c r="Z598" s="223"/>
      <c r="AA598" s="223"/>
    </row>
    <row r="599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  <c r="Z599" s="223"/>
      <c r="AA599" s="223"/>
    </row>
    <row r="600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  <c r="Z600" s="223"/>
      <c r="AA600" s="223"/>
    </row>
    <row r="60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  <c r="Z601" s="223"/>
      <c r="AA601" s="223"/>
    </row>
    <row r="602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  <c r="Z602" s="223"/>
      <c r="AA602" s="223"/>
    </row>
    <row r="603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  <c r="Z603" s="223"/>
      <c r="AA603" s="223"/>
    </row>
    <row r="604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  <c r="Z604" s="223"/>
      <c r="AA604" s="223"/>
    </row>
    <row r="605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  <c r="Z605" s="223"/>
      <c r="AA605" s="223"/>
    </row>
    <row r="606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  <c r="Z606" s="223"/>
      <c r="AA606" s="223"/>
    </row>
    <row r="607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  <c r="Z607" s="223"/>
      <c r="AA607" s="223"/>
    </row>
    <row r="608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  <c r="Z608" s="223"/>
      <c r="AA608" s="223"/>
    </row>
    <row r="609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  <c r="Z609" s="223"/>
      <c r="AA609" s="223"/>
    </row>
    <row r="610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  <c r="Z610" s="223"/>
      <c r="AA610" s="223"/>
    </row>
    <row r="61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  <c r="Z611" s="223"/>
      <c r="AA611" s="223"/>
    </row>
    <row r="612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  <c r="Z612" s="223"/>
      <c r="AA612" s="223"/>
    </row>
    <row r="613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  <c r="Z613" s="223"/>
      <c r="AA613" s="223"/>
    </row>
    <row r="614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  <c r="Z614" s="223"/>
      <c r="AA614" s="223"/>
    </row>
    <row r="615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  <c r="Z615" s="223"/>
      <c r="AA615" s="223"/>
    </row>
    <row r="616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  <c r="Z616" s="223"/>
      <c r="AA616" s="223"/>
    </row>
    <row r="617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  <c r="Z617" s="223"/>
      <c r="AA617" s="223"/>
    </row>
    <row r="618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  <c r="Z618" s="223"/>
      <c r="AA618" s="223"/>
    </row>
    <row r="619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  <c r="AA619" s="223"/>
    </row>
    <row r="620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  <c r="Z620" s="223"/>
      <c r="AA620" s="223"/>
    </row>
    <row r="62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  <c r="Z621" s="223"/>
      <c r="AA621" s="223"/>
    </row>
    <row r="622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  <c r="Z622" s="223"/>
      <c r="AA622" s="223"/>
    </row>
    <row r="623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  <c r="Z623" s="223"/>
      <c r="AA623" s="223"/>
    </row>
    <row r="624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  <c r="Z624" s="223"/>
      <c r="AA624" s="223"/>
    </row>
    <row r="625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  <c r="Z625" s="223"/>
      <c r="AA625" s="223"/>
    </row>
    <row r="626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  <c r="Z626" s="223"/>
      <c r="AA626" s="223"/>
    </row>
    <row r="627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  <c r="Z627" s="223"/>
      <c r="AA627" s="223"/>
    </row>
    <row r="628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  <c r="Z628" s="223"/>
      <c r="AA628" s="223"/>
    </row>
    <row r="629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  <c r="Z629" s="223"/>
      <c r="AA629" s="223"/>
    </row>
    <row r="630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  <c r="AA630" s="223"/>
    </row>
    <row r="63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  <c r="Z631" s="223"/>
      <c r="AA631" s="223"/>
    </row>
    <row r="632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  <c r="Z632" s="223"/>
      <c r="AA632" s="223"/>
    </row>
    <row r="633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223"/>
      <c r="AA633" s="223"/>
    </row>
    <row r="634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  <c r="Z634" s="223"/>
      <c r="AA634" s="223"/>
    </row>
    <row r="635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  <c r="AA635" s="223"/>
    </row>
    <row r="636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  <c r="Z636" s="223"/>
      <c r="AA636" s="223"/>
    </row>
    <row r="637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  <c r="AA637" s="223"/>
    </row>
    <row r="638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  <c r="Z638" s="223"/>
      <c r="AA638" s="223"/>
    </row>
    <row r="639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  <c r="Z639" s="223"/>
      <c r="AA639" s="223"/>
    </row>
    <row r="640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  <c r="Z640" s="223"/>
      <c r="AA640" s="223"/>
    </row>
    <row r="64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  <c r="Z641" s="223"/>
      <c r="AA641" s="223"/>
    </row>
    <row r="642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  <c r="Z642" s="223"/>
      <c r="AA642" s="223"/>
    </row>
    <row r="643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  <c r="Z643" s="223"/>
      <c r="AA643" s="223"/>
    </row>
    <row r="644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  <c r="AA644" s="223"/>
    </row>
    <row r="645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  <c r="Z645" s="223"/>
      <c r="AA645" s="223"/>
    </row>
    <row r="646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  <c r="Z646" s="223"/>
      <c r="AA646" s="223"/>
    </row>
    <row r="647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  <c r="AA647" s="223"/>
    </row>
    <row r="648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  <c r="Z648" s="223"/>
      <c r="AA648" s="223"/>
    </row>
    <row r="649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  <c r="Z649" s="223"/>
      <c r="AA649" s="223"/>
    </row>
    <row r="650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  <c r="Z650" s="223"/>
      <c r="AA650" s="223"/>
    </row>
    <row r="65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  <c r="Z651" s="223"/>
      <c r="AA651" s="223"/>
    </row>
    <row r="652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  <c r="AA652" s="223"/>
    </row>
    <row r="653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  <c r="AA653" s="223"/>
    </row>
    <row r="654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  <c r="Z654" s="223"/>
      <c r="AA654" s="223"/>
    </row>
    <row r="655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  <c r="Z655" s="223"/>
      <c r="AA655" s="223"/>
    </row>
    <row r="656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  <c r="Z656" s="223"/>
      <c r="AA656" s="223"/>
    </row>
    <row r="657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  <c r="Z657" s="223"/>
      <c r="AA657" s="223"/>
    </row>
    <row r="658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  <c r="AA658" s="223"/>
    </row>
    <row r="659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  <c r="Z659" s="223"/>
      <c r="AA659" s="223"/>
    </row>
    <row r="660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  <c r="Z660" s="223"/>
      <c r="AA660" s="223"/>
    </row>
    <row r="66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  <c r="Z661" s="223"/>
      <c r="AA661" s="223"/>
    </row>
    <row r="662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  <c r="AA662" s="223"/>
    </row>
    <row r="663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  <c r="Z663" s="223"/>
      <c r="AA663" s="223"/>
    </row>
    <row r="664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  <c r="Z664" s="223"/>
      <c r="AA664" s="223"/>
    </row>
    <row r="665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  <c r="Z665" s="223"/>
      <c r="AA665" s="223"/>
    </row>
    <row r="666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  <c r="Z666" s="223"/>
      <c r="AA666" s="223"/>
    </row>
    <row r="667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  <c r="Z667" s="223"/>
      <c r="AA667" s="223"/>
    </row>
    <row r="668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  <c r="Z668" s="223"/>
      <c r="AA668" s="223"/>
    </row>
    <row r="669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  <c r="Z669" s="223"/>
      <c r="AA669" s="223"/>
    </row>
    <row r="670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  <c r="Z670" s="223"/>
      <c r="AA670" s="223"/>
    </row>
    <row r="67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  <c r="AA671" s="223"/>
    </row>
    <row r="672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  <c r="Z672" s="223"/>
      <c r="AA672" s="223"/>
    </row>
    <row r="673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  <c r="Z673" s="223"/>
      <c r="AA673" s="223"/>
    </row>
    <row r="674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  <c r="Z674" s="223"/>
      <c r="AA674" s="223"/>
    </row>
    <row r="675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  <c r="Z675" s="223"/>
      <c r="AA675" s="223"/>
    </row>
    <row r="676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  <c r="AA676" s="223"/>
    </row>
    <row r="677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  <c r="Z677" s="223"/>
      <c r="AA677" s="223"/>
    </row>
    <row r="678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  <c r="Z678" s="223"/>
      <c r="AA678" s="223"/>
    </row>
    <row r="679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  <c r="Z679" s="223"/>
      <c r="AA679" s="223"/>
    </row>
    <row r="680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  <c r="Z680" s="223"/>
      <c r="AA680" s="223"/>
    </row>
    <row r="68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  <c r="Z681" s="223"/>
      <c r="AA681" s="223"/>
    </row>
    <row r="682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  <c r="AA682" s="223"/>
    </row>
    <row r="683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  <c r="Z683" s="223"/>
      <c r="AA683" s="223"/>
    </row>
    <row r="684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  <c r="Z684" s="223"/>
      <c r="AA684" s="223"/>
    </row>
    <row r="685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  <c r="Z685" s="223"/>
      <c r="AA685" s="223"/>
    </row>
    <row r="686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  <c r="Z686" s="223"/>
      <c r="AA686" s="223"/>
    </row>
    <row r="687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  <c r="Z687" s="223"/>
      <c r="AA687" s="223"/>
    </row>
    <row r="688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  <c r="Z688" s="223"/>
      <c r="AA688" s="223"/>
    </row>
    <row r="689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  <c r="Z689" s="223"/>
      <c r="AA689" s="223"/>
    </row>
    <row r="690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  <c r="Z690" s="223"/>
      <c r="AA690" s="223"/>
    </row>
    <row r="69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  <c r="Z691" s="223"/>
      <c r="AA691" s="223"/>
    </row>
    <row r="692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  <c r="Z692" s="223"/>
      <c r="AA692" s="223"/>
    </row>
    <row r="693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  <c r="Z693" s="223"/>
      <c r="AA693" s="223"/>
    </row>
    <row r="694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  <c r="Z694" s="223"/>
      <c r="AA694" s="223"/>
    </row>
    <row r="695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  <c r="Z695" s="223"/>
      <c r="AA695" s="223"/>
    </row>
    <row r="696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  <c r="Z696" s="223"/>
      <c r="AA696" s="223"/>
    </row>
    <row r="697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  <c r="Z697" s="223"/>
      <c r="AA697" s="223"/>
    </row>
    <row r="698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  <c r="Z698" s="223"/>
      <c r="AA698" s="223"/>
    </row>
    <row r="699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  <c r="Z699" s="223"/>
      <c r="AA699" s="223"/>
    </row>
    <row r="700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  <c r="Z700" s="223"/>
      <c r="AA700" s="223"/>
    </row>
    <row r="70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  <c r="Z701" s="223"/>
      <c r="AA701" s="223"/>
    </row>
    <row r="702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  <c r="Z702" s="223"/>
      <c r="AA702" s="223"/>
    </row>
    <row r="703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  <c r="Z703" s="223"/>
      <c r="AA703" s="223"/>
    </row>
    <row r="704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  <c r="Z704" s="223"/>
      <c r="AA704" s="223"/>
    </row>
    <row r="705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  <c r="Z705" s="223"/>
      <c r="AA705" s="223"/>
    </row>
    <row r="706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  <c r="AA706" s="223"/>
    </row>
    <row r="707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  <c r="Z707" s="223"/>
      <c r="AA707" s="223"/>
    </row>
    <row r="708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  <c r="Z708" s="223"/>
      <c r="AA708" s="223"/>
    </row>
    <row r="709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  <c r="Z709" s="223"/>
      <c r="AA709" s="223"/>
    </row>
    <row r="710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  <c r="AA710" s="223"/>
    </row>
    <row r="71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  <c r="Z711" s="223"/>
      <c r="AA711" s="223"/>
    </row>
    <row r="712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  <c r="Z712" s="223"/>
      <c r="AA712" s="223"/>
    </row>
    <row r="713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  <c r="Z713" s="223"/>
      <c r="AA713" s="223"/>
    </row>
    <row r="714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  <c r="Z714" s="223"/>
      <c r="AA714" s="223"/>
    </row>
    <row r="715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  <c r="Z715" s="223"/>
      <c r="AA715" s="223"/>
    </row>
    <row r="716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  <c r="Z716" s="223"/>
      <c r="AA716" s="223"/>
    </row>
    <row r="717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  <c r="Z717" s="223"/>
      <c r="AA717" s="223"/>
    </row>
    <row r="718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  <c r="Z718" s="223"/>
      <c r="AA718" s="223"/>
    </row>
    <row r="719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  <c r="Z719" s="223"/>
      <c r="AA719" s="223"/>
    </row>
    <row r="720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  <c r="Z720" s="223"/>
      <c r="AA720" s="223"/>
    </row>
    <row r="72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  <c r="Z721" s="223"/>
      <c r="AA721" s="223"/>
    </row>
    <row r="722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  <c r="Z722" s="223"/>
      <c r="AA722" s="223"/>
    </row>
    <row r="723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  <c r="Z723" s="223"/>
      <c r="AA723" s="223"/>
    </row>
    <row r="724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  <c r="Z724" s="223"/>
      <c r="AA724" s="223"/>
    </row>
    <row r="725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  <c r="Z725" s="223"/>
      <c r="AA725" s="223"/>
    </row>
    <row r="726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  <c r="AA726" s="223"/>
    </row>
    <row r="727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  <c r="Z727" s="223"/>
      <c r="AA727" s="223"/>
    </row>
    <row r="728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  <c r="Z728" s="223"/>
      <c r="AA728" s="223"/>
    </row>
    <row r="729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  <c r="Z729" s="223"/>
      <c r="AA729" s="223"/>
    </row>
    <row r="730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  <c r="Z730" s="223"/>
      <c r="AA730" s="223"/>
    </row>
    <row r="73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  <c r="Z731" s="223"/>
      <c r="AA731" s="223"/>
    </row>
    <row r="732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  <c r="Z732" s="223"/>
      <c r="AA732" s="223"/>
    </row>
    <row r="733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  <c r="Z733" s="223"/>
      <c r="AA733" s="223"/>
    </row>
    <row r="734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  <c r="Z734" s="223"/>
      <c r="AA734" s="223"/>
    </row>
    <row r="735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  <c r="AA735" s="223"/>
    </row>
    <row r="736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  <c r="Z736" s="223"/>
      <c r="AA736" s="223"/>
    </row>
    <row r="737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  <c r="AA737" s="223"/>
    </row>
    <row r="738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  <c r="Z738" s="223"/>
      <c r="AA738" s="223"/>
    </row>
    <row r="739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  <c r="Z739" s="223"/>
      <c r="AA739" s="223"/>
    </row>
    <row r="740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  <c r="Z740" s="223"/>
      <c r="AA740" s="223"/>
    </row>
    <row r="74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  <c r="Z741" s="223"/>
      <c r="AA741" s="223"/>
    </row>
    <row r="742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  <c r="Z742" s="223"/>
      <c r="AA742" s="223"/>
    </row>
    <row r="743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  <c r="Z743" s="223"/>
      <c r="AA743" s="223"/>
    </row>
    <row r="744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  <c r="AA744" s="223"/>
    </row>
    <row r="745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  <c r="Z745" s="223"/>
      <c r="AA745" s="223"/>
    </row>
    <row r="746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  <c r="Z746" s="223"/>
      <c r="AA746" s="223"/>
    </row>
    <row r="747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  <c r="Z747" s="223"/>
      <c r="AA747" s="223"/>
    </row>
    <row r="748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  <c r="Z748" s="223"/>
      <c r="AA748" s="223"/>
    </row>
    <row r="749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  <c r="Z749" s="223"/>
      <c r="AA749" s="223"/>
    </row>
    <row r="750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  <c r="Z750" s="223"/>
      <c r="AA750" s="223"/>
    </row>
    <row r="75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  <c r="Z751" s="223"/>
      <c r="AA751" s="223"/>
    </row>
    <row r="752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  <c r="Z752" s="223"/>
      <c r="AA752" s="223"/>
    </row>
    <row r="753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  <c r="AA753" s="223"/>
    </row>
    <row r="754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  <c r="Z754" s="223"/>
      <c r="AA754" s="223"/>
    </row>
    <row r="755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  <c r="Z755" s="223"/>
      <c r="AA755" s="223"/>
    </row>
    <row r="756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  <c r="Z756" s="223"/>
      <c r="AA756" s="223"/>
    </row>
    <row r="757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  <c r="Z757" s="223"/>
      <c r="AA757" s="223"/>
    </row>
    <row r="758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  <c r="Z758" s="223"/>
      <c r="AA758" s="223"/>
    </row>
    <row r="759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  <c r="Z759" s="223"/>
      <c r="AA759" s="223"/>
    </row>
    <row r="760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  <c r="Z760" s="223"/>
      <c r="AA760" s="223"/>
    </row>
    <row r="76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  <c r="Z761" s="223"/>
      <c r="AA761" s="223"/>
    </row>
    <row r="762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  <c r="AA762" s="223"/>
    </row>
    <row r="763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  <c r="Z763" s="223"/>
      <c r="AA763" s="223"/>
    </row>
    <row r="764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  <c r="Z764" s="223"/>
      <c r="AA764" s="223"/>
    </row>
    <row r="765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  <c r="Z765" s="223"/>
      <c r="AA765" s="223"/>
    </row>
    <row r="766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  <c r="Z766" s="223"/>
      <c r="AA766" s="223"/>
    </row>
    <row r="767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  <c r="AA767" s="223"/>
    </row>
    <row r="768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  <c r="AA768" s="223"/>
    </row>
    <row r="769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  <c r="Z769" s="223"/>
      <c r="AA769" s="223"/>
    </row>
    <row r="770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  <c r="Z770" s="223"/>
      <c r="AA770" s="223"/>
    </row>
    <row r="77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  <c r="Z771" s="223"/>
      <c r="AA771" s="223"/>
    </row>
    <row r="772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  <c r="Z772" s="223"/>
      <c r="AA772" s="223"/>
    </row>
    <row r="773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  <c r="Z773" s="223"/>
      <c r="AA773" s="223"/>
    </row>
    <row r="774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  <c r="Z774" s="223"/>
      <c r="AA774" s="223"/>
    </row>
    <row r="775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  <c r="Z775" s="223"/>
      <c r="AA775" s="223"/>
    </row>
    <row r="776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  <c r="Z776" s="223"/>
      <c r="AA776" s="223"/>
    </row>
    <row r="777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  <c r="Z777" s="223"/>
      <c r="AA777" s="223"/>
    </row>
    <row r="778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  <c r="Z778" s="223"/>
      <c r="AA778" s="223"/>
    </row>
    <row r="779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  <c r="Z779" s="223"/>
      <c r="AA779" s="223"/>
    </row>
    <row r="780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  <c r="Z780" s="223"/>
      <c r="AA780" s="223"/>
    </row>
    <row r="78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  <c r="Z781" s="223"/>
      <c r="AA781" s="223"/>
    </row>
    <row r="782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  <c r="AA782" s="223"/>
    </row>
    <row r="783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  <c r="Z783" s="223"/>
      <c r="AA783" s="223"/>
    </row>
    <row r="784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  <c r="Z784" s="223"/>
      <c r="AA784" s="223"/>
    </row>
    <row r="785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  <c r="Z785" s="223"/>
      <c r="AA785" s="223"/>
    </row>
    <row r="786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  <c r="Z786" s="223"/>
      <c r="AA786" s="223"/>
    </row>
    <row r="787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  <c r="Z787" s="223"/>
      <c r="AA787" s="223"/>
    </row>
    <row r="788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  <c r="Z788" s="223"/>
      <c r="AA788" s="223"/>
    </row>
    <row r="789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  <c r="Z789" s="223"/>
      <c r="AA789" s="223"/>
    </row>
    <row r="790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  <c r="Z790" s="223"/>
      <c r="AA790" s="223"/>
    </row>
    <row r="79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  <c r="Z791" s="223"/>
      <c r="AA791" s="223"/>
    </row>
    <row r="792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  <c r="Z792" s="223"/>
      <c r="AA792" s="223"/>
    </row>
    <row r="793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  <c r="Z793" s="223"/>
      <c r="AA793" s="223"/>
    </row>
    <row r="794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  <c r="AA794" s="223"/>
    </row>
    <row r="795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  <c r="Z795" s="223"/>
      <c r="AA795" s="223"/>
    </row>
    <row r="796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  <c r="Z796" s="223"/>
      <c r="AA796" s="223"/>
    </row>
    <row r="797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  <c r="Z797" s="223"/>
      <c r="AA797" s="223"/>
    </row>
    <row r="798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  <c r="AA798" s="223"/>
    </row>
    <row r="799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  <c r="Z799" s="223"/>
      <c r="AA799" s="223"/>
    </row>
    <row r="800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  <c r="Z800" s="223"/>
      <c r="AA800" s="223"/>
    </row>
    <row r="80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  <c r="Z801" s="223"/>
      <c r="AA801" s="223"/>
    </row>
    <row r="802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  <c r="Z802" s="223"/>
      <c r="AA802" s="223"/>
    </row>
    <row r="803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  <c r="Z803" s="223"/>
      <c r="AA803" s="223"/>
    </row>
    <row r="804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  <c r="Z804" s="223"/>
      <c r="AA804" s="223"/>
    </row>
    <row r="805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  <c r="Z805" s="223"/>
      <c r="AA805" s="223"/>
    </row>
    <row r="806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  <c r="Z806" s="223"/>
      <c r="AA806" s="223"/>
    </row>
    <row r="807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  <c r="Z807" s="223"/>
      <c r="AA807" s="223"/>
    </row>
    <row r="808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  <c r="Z808" s="223"/>
      <c r="AA808" s="223"/>
    </row>
    <row r="809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  <c r="Z809" s="223"/>
      <c r="AA809" s="223"/>
    </row>
    <row r="810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  <c r="Z810" s="223"/>
      <c r="AA810" s="223"/>
    </row>
    <row r="81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  <c r="Z811" s="223"/>
      <c r="AA811" s="223"/>
    </row>
    <row r="812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  <c r="Z812" s="223"/>
      <c r="AA812" s="223"/>
    </row>
    <row r="813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  <c r="Z813" s="223"/>
      <c r="AA813" s="223"/>
    </row>
    <row r="814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  <c r="AA814" s="223"/>
    </row>
    <row r="815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  <c r="Z815" s="223"/>
      <c r="AA815" s="223"/>
    </row>
    <row r="816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  <c r="Z816" s="223"/>
      <c r="AA816" s="223"/>
    </row>
    <row r="817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  <c r="Z817" s="223"/>
      <c r="AA817" s="223"/>
    </row>
    <row r="818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  <c r="Z818" s="223"/>
      <c r="AA818" s="223"/>
    </row>
    <row r="819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  <c r="Z819" s="223"/>
      <c r="AA819" s="223"/>
    </row>
    <row r="820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  <c r="Z820" s="223"/>
      <c r="AA820" s="223"/>
    </row>
    <row r="82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  <c r="AA821" s="223"/>
    </row>
    <row r="822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  <c r="Z822" s="223"/>
      <c r="AA822" s="223"/>
    </row>
    <row r="823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  <c r="AA823" s="223"/>
    </row>
    <row r="824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  <c r="Z824" s="223"/>
      <c r="AA824" s="223"/>
    </row>
    <row r="825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  <c r="Z825" s="223"/>
      <c r="AA825" s="223"/>
    </row>
    <row r="826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  <c r="Z826" s="223"/>
      <c r="AA826" s="223"/>
    </row>
    <row r="827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  <c r="Z827" s="223"/>
      <c r="AA827" s="223"/>
    </row>
    <row r="828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  <c r="Z828" s="223"/>
      <c r="AA828" s="223"/>
    </row>
    <row r="829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  <c r="Z829" s="223"/>
      <c r="AA829" s="223"/>
    </row>
    <row r="830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  <c r="AA830" s="223"/>
    </row>
    <row r="83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  <c r="Z831" s="223"/>
      <c r="AA831" s="223"/>
    </row>
    <row r="832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  <c r="AA832" s="223"/>
    </row>
    <row r="833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  <c r="Z833" s="223"/>
      <c r="AA833" s="223"/>
    </row>
    <row r="834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  <c r="Z834" s="223"/>
      <c r="AA834" s="223"/>
    </row>
    <row r="835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  <c r="Z835" s="223"/>
      <c r="AA835" s="223"/>
    </row>
    <row r="836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  <c r="Z836" s="223"/>
      <c r="AA836" s="223"/>
    </row>
    <row r="837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  <c r="Z837" s="223"/>
      <c r="AA837" s="223"/>
    </row>
    <row r="838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  <c r="Z838" s="223"/>
      <c r="AA838" s="223"/>
    </row>
    <row r="839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  <c r="Z839" s="223"/>
      <c r="AA839" s="223"/>
    </row>
    <row r="840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  <c r="Z840" s="223"/>
      <c r="AA840" s="223"/>
    </row>
    <row r="84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  <c r="AA841" s="223"/>
    </row>
    <row r="842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  <c r="Z842" s="223"/>
      <c r="AA842" s="223"/>
    </row>
    <row r="843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  <c r="Z843" s="223"/>
      <c r="AA843" s="223"/>
    </row>
    <row r="844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  <c r="Z844" s="223"/>
      <c r="AA844" s="223"/>
    </row>
    <row r="845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  <c r="Z845" s="223"/>
      <c r="AA845" s="223"/>
    </row>
    <row r="846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  <c r="Z846" s="223"/>
      <c r="AA846" s="223"/>
    </row>
    <row r="847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  <c r="Z847" s="223"/>
      <c r="AA847" s="223"/>
    </row>
    <row r="848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  <c r="Z848" s="223"/>
      <c r="AA848" s="223"/>
    </row>
    <row r="849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  <c r="Z849" s="223"/>
      <c r="AA849" s="223"/>
    </row>
    <row r="850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  <c r="AA850" s="223"/>
    </row>
    <row r="85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  <c r="Z851" s="223"/>
      <c r="AA851" s="223"/>
    </row>
    <row r="852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  <c r="Z852" s="223"/>
      <c r="AA852" s="223"/>
    </row>
    <row r="853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  <c r="Z853" s="223"/>
      <c r="AA853" s="223"/>
    </row>
    <row r="854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  <c r="Z854" s="223"/>
      <c r="AA854" s="223"/>
    </row>
    <row r="855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  <c r="Z855" s="223"/>
      <c r="AA855" s="223"/>
    </row>
    <row r="856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  <c r="Z856" s="223"/>
      <c r="AA856" s="223"/>
    </row>
    <row r="857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  <c r="Z857" s="223"/>
      <c r="AA857" s="223"/>
    </row>
    <row r="858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  <c r="Z858" s="223"/>
      <c r="AA858" s="223"/>
    </row>
    <row r="859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  <c r="Z859" s="223"/>
      <c r="AA859" s="223"/>
    </row>
    <row r="860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  <c r="Z860" s="223"/>
      <c r="AA860" s="223"/>
    </row>
    <row r="86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  <c r="Z861" s="223"/>
      <c r="AA861" s="223"/>
    </row>
    <row r="862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  <c r="Z862" s="223"/>
      <c r="AA862" s="223"/>
    </row>
    <row r="863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  <c r="AA863" s="223"/>
    </row>
    <row r="864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  <c r="AA864" s="223"/>
    </row>
    <row r="865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  <c r="Z865" s="223"/>
      <c r="AA865" s="223"/>
    </row>
    <row r="866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  <c r="Z866" s="223"/>
      <c r="AA866" s="223"/>
    </row>
    <row r="867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  <c r="Z867" s="223"/>
      <c r="AA867" s="223"/>
    </row>
    <row r="868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  <c r="AA868" s="223"/>
    </row>
    <row r="869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  <c r="AA869" s="223"/>
    </row>
    <row r="870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  <c r="Z870" s="223"/>
      <c r="AA870" s="223"/>
    </row>
    <row r="87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  <c r="Z871" s="223"/>
      <c r="AA871" s="223"/>
    </row>
    <row r="872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  <c r="Z872" s="223"/>
      <c r="AA872" s="223"/>
    </row>
    <row r="873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  <c r="Z873" s="223"/>
      <c r="AA873" s="223"/>
    </row>
    <row r="874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  <c r="Z874" s="223"/>
      <c r="AA874" s="223"/>
    </row>
    <row r="875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  <c r="Z875" s="223"/>
      <c r="AA875" s="223"/>
    </row>
    <row r="876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  <c r="Z876" s="223"/>
      <c r="AA876" s="223"/>
    </row>
    <row r="877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  <c r="Z877" s="223"/>
      <c r="AA877" s="223"/>
    </row>
    <row r="878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  <c r="Z878" s="223"/>
      <c r="AA878" s="223"/>
    </row>
    <row r="879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  <c r="Z879" s="223"/>
      <c r="AA879" s="223"/>
    </row>
    <row r="880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  <c r="Z880" s="223"/>
      <c r="AA880" s="223"/>
    </row>
    <row r="88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  <c r="Z881" s="223"/>
      <c r="AA881" s="223"/>
    </row>
    <row r="882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  <c r="Z882" s="223"/>
      <c r="AA882" s="223"/>
    </row>
    <row r="883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  <c r="Z883" s="223"/>
      <c r="AA883" s="223"/>
    </row>
    <row r="884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  <c r="Z884" s="223"/>
      <c r="AA884" s="223"/>
    </row>
    <row r="885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  <c r="Z885" s="223"/>
      <c r="AA885" s="223"/>
    </row>
    <row r="886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  <c r="AA886" s="223"/>
    </row>
    <row r="887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  <c r="Z887" s="223"/>
      <c r="AA887" s="223"/>
    </row>
    <row r="888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  <c r="Z888" s="223"/>
      <c r="AA888" s="223"/>
    </row>
    <row r="889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  <c r="Z889" s="223"/>
      <c r="AA889" s="223"/>
    </row>
    <row r="890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  <c r="Z890" s="223"/>
      <c r="AA890" s="223"/>
    </row>
    <row r="89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  <c r="Z891" s="223"/>
      <c r="AA891" s="223"/>
    </row>
    <row r="892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  <c r="Z892" s="223"/>
      <c r="AA892" s="223"/>
    </row>
    <row r="893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  <c r="Z893" s="223"/>
      <c r="AA893" s="223"/>
    </row>
    <row r="894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  <c r="Z894" s="223"/>
      <c r="AA894" s="223"/>
    </row>
    <row r="895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  <c r="Z895" s="223"/>
      <c r="AA895" s="223"/>
    </row>
    <row r="896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  <c r="AA896" s="223"/>
    </row>
    <row r="897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  <c r="AA897" s="223"/>
    </row>
    <row r="898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  <c r="Z898" s="223"/>
      <c r="AA898" s="223"/>
    </row>
    <row r="899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  <c r="AA899" s="223"/>
    </row>
    <row r="900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  <c r="Z900" s="223"/>
      <c r="AA900" s="223"/>
    </row>
    <row r="90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  <c r="Z901" s="223"/>
      <c r="AA901" s="223"/>
    </row>
    <row r="902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  <c r="AA902" s="223"/>
    </row>
    <row r="903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  <c r="Z903" s="223"/>
      <c r="AA903" s="223"/>
    </row>
    <row r="904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  <c r="Z904" s="223"/>
      <c r="AA904" s="223"/>
    </row>
    <row r="905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  <c r="Z905" s="223"/>
      <c r="AA905" s="223"/>
    </row>
    <row r="906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  <c r="Z906" s="223"/>
      <c r="AA906" s="223"/>
    </row>
    <row r="907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  <c r="Z907" s="223"/>
      <c r="AA907" s="223"/>
    </row>
    <row r="908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  <c r="Z908" s="223"/>
      <c r="AA908" s="223"/>
    </row>
    <row r="909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  <c r="Z909" s="223"/>
      <c r="AA909" s="223"/>
    </row>
    <row r="910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  <c r="Z910" s="223"/>
      <c r="AA910" s="223"/>
    </row>
    <row r="91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  <c r="AA911" s="223"/>
    </row>
    <row r="912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  <c r="Z912" s="223"/>
      <c r="AA912" s="223"/>
    </row>
    <row r="913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  <c r="Z913" s="223"/>
      <c r="AA913" s="223"/>
    </row>
    <row r="914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  <c r="Z914" s="223"/>
      <c r="AA914" s="223"/>
    </row>
    <row r="915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  <c r="Z915" s="223"/>
      <c r="AA915" s="223"/>
    </row>
    <row r="916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  <c r="Z916" s="223"/>
      <c r="AA916" s="223"/>
    </row>
    <row r="917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  <c r="Z917" s="223"/>
      <c r="AA917" s="223"/>
    </row>
    <row r="918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  <c r="Z918" s="223"/>
      <c r="AA918" s="223"/>
    </row>
    <row r="919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  <c r="Z919" s="223"/>
      <c r="AA919" s="223"/>
    </row>
    <row r="920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  <c r="AA920" s="223"/>
    </row>
    <row r="92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  <c r="Z921" s="223"/>
      <c r="AA921" s="223"/>
    </row>
    <row r="922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  <c r="AA922" s="223"/>
    </row>
    <row r="923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  <c r="Z923" s="223"/>
      <c r="AA923" s="223"/>
    </row>
    <row r="924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  <c r="Z924" s="223"/>
      <c r="AA924" s="223"/>
    </row>
    <row r="925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  <c r="Z925" s="223"/>
      <c r="AA925" s="223"/>
    </row>
    <row r="926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  <c r="Z926" s="223"/>
      <c r="AA926" s="223"/>
    </row>
    <row r="927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  <c r="Z927" s="223"/>
      <c r="AA927" s="223"/>
    </row>
    <row r="928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  <c r="Z928" s="223"/>
      <c r="AA928" s="223"/>
    </row>
    <row r="929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  <c r="AA929" s="223"/>
    </row>
    <row r="930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  <c r="Z930" s="223"/>
      <c r="AA930" s="223"/>
    </row>
    <row r="93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  <c r="Z931" s="223"/>
      <c r="AA931" s="223"/>
    </row>
    <row r="932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  <c r="Z932" s="223"/>
      <c r="AA932" s="223"/>
    </row>
    <row r="933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  <c r="Z933" s="223"/>
      <c r="AA933" s="223"/>
    </row>
    <row r="934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  <c r="Z934" s="223"/>
      <c r="AA934" s="223"/>
    </row>
    <row r="935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  <c r="Z935" s="223"/>
      <c r="AA935" s="223"/>
    </row>
    <row r="936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  <c r="Z936" s="223"/>
      <c r="AA936" s="223"/>
    </row>
    <row r="937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  <c r="Z937" s="223"/>
      <c r="AA937" s="223"/>
    </row>
    <row r="938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  <c r="AA938" s="223"/>
    </row>
    <row r="939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  <c r="Z939" s="223"/>
      <c r="AA939" s="223"/>
    </row>
    <row r="940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  <c r="Z940" s="223"/>
      <c r="AA940" s="223"/>
    </row>
    <row r="94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  <c r="Z941" s="223"/>
      <c r="AA941" s="223"/>
    </row>
    <row r="942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  <c r="Z942" s="223"/>
      <c r="AA942" s="223"/>
    </row>
    <row r="943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  <c r="Z943" s="223"/>
      <c r="AA943" s="223"/>
    </row>
    <row r="944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  <c r="Z944" s="223"/>
      <c r="AA944" s="223"/>
    </row>
    <row r="945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  <c r="Z945" s="223"/>
      <c r="AA945" s="223"/>
    </row>
    <row r="946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  <c r="Z946" s="223"/>
      <c r="AA946" s="223"/>
    </row>
    <row r="947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  <c r="Z947" s="223"/>
      <c r="AA947" s="223"/>
    </row>
    <row r="948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  <c r="Z948" s="223"/>
      <c r="AA948" s="223"/>
    </row>
    <row r="949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  <c r="Z949" s="223"/>
      <c r="AA949" s="223"/>
    </row>
    <row r="950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  <c r="Z950" s="223"/>
      <c r="AA950" s="223"/>
    </row>
    <row r="95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  <c r="Z951" s="223"/>
      <c r="AA951" s="223"/>
    </row>
    <row r="952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  <c r="Z952" s="223"/>
      <c r="AA952" s="223"/>
    </row>
    <row r="953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  <c r="Z953" s="223"/>
      <c r="AA953" s="223"/>
    </row>
    <row r="954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  <c r="Z954" s="223"/>
      <c r="AA954" s="223"/>
    </row>
    <row r="955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  <c r="Z955" s="223"/>
      <c r="AA955" s="223"/>
    </row>
    <row r="956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  <c r="Z956" s="223"/>
      <c r="AA956" s="223"/>
    </row>
    <row r="957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  <c r="Z957" s="223"/>
      <c r="AA957" s="223"/>
    </row>
    <row r="958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  <c r="Z958" s="223"/>
      <c r="AA958" s="223"/>
    </row>
    <row r="959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  <c r="Z959" s="223"/>
      <c r="AA959" s="223"/>
    </row>
    <row r="960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  <c r="Z960" s="223"/>
      <c r="AA960" s="223"/>
    </row>
    <row r="96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  <c r="Z961" s="223"/>
      <c r="AA961" s="223"/>
    </row>
    <row r="962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  <c r="Z962" s="223"/>
      <c r="AA962" s="223"/>
    </row>
    <row r="963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  <c r="Z963" s="223"/>
      <c r="AA963" s="223"/>
    </row>
    <row r="964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  <c r="Z964" s="223"/>
      <c r="AA964" s="223"/>
    </row>
    <row r="965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  <c r="Z965" s="223"/>
      <c r="AA965" s="223"/>
    </row>
    <row r="966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  <c r="Z966" s="223"/>
      <c r="AA966" s="223"/>
    </row>
    <row r="967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  <c r="Z967" s="223"/>
      <c r="AA967" s="223"/>
    </row>
    <row r="968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  <c r="Z968" s="223"/>
      <c r="AA968" s="223"/>
    </row>
    <row r="969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23"/>
      <c r="Q969" s="223"/>
      <c r="R969" s="223"/>
      <c r="S969" s="223"/>
      <c r="T969" s="223"/>
      <c r="U969" s="223"/>
      <c r="V969" s="223"/>
      <c r="W969" s="223"/>
      <c r="X969" s="223"/>
      <c r="Y969" s="223"/>
      <c r="Z969" s="223"/>
      <c r="AA969" s="223"/>
    </row>
    <row r="970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23"/>
      <c r="Q970" s="223"/>
      <c r="R970" s="223"/>
      <c r="S970" s="223"/>
      <c r="T970" s="223"/>
      <c r="U970" s="223"/>
      <c r="V970" s="223"/>
      <c r="W970" s="223"/>
      <c r="X970" s="223"/>
      <c r="Y970" s="223"/>
      <c r="Z970" s="223"/>
      <c r="AA970" s="223"/>
    </row>
    <row r="97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23"/>
      <c r="Q971" s="223"/>
      <c r="R971" s="223"/>
      <c r="S971" s="223"/>
      <c r="T971" s="223"/>
      <c r="U971" s="223"/>
      <c r="V971" s="223"/>
      <c r="W971" s="223"/>
      <c r="X971" s="223"/>
      <c r="Y971" s="223"/>
      <c r="Z971" s="223"/>
      <c r="AA971" s="223"/>
    </row>
    <row r="972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23"/>
      <c r="Q972" s="223"/>
      <c r="R972" s="223"/>
      <c r="S972" s="223"/>
      <c r="T972" s="223"/>
      <c r="U972" s="223"/>
      <c r="V972" s="223"/>
      <c r="W972" s="223"/>
      <c r="X972" s="223"/>
      <c r="Y972" s="223"/>
      <c r="Z972" s="223"/>
      <c r="AA972" s="223"/>
    </row>
    <row r="973">
      <c r="A973" s="223"/>
      <c r="B973" s="223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  <c r="O973" s="223"/>
      <c r="P973" s="223"/>
      <c r="Q973" s="223"/>
      <c r="R973" s="223"/>
      <c r="S973" s="223"/>
      <c r="T973" s="223"/>
      <c r="U973" s="223"/>
      <c r="V973" s="223"/>
      <c r="W973" s="223"/>
      <c r="X973" s="223"/>
      <c r="Y973" s="223"/>
      <c r="Z973" s="223"/>
      <c r="AA973" s="223"/>
    </row>
    <row r="974">
      <c r="A974" s="223"/>
      <c r="B974" s="223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  <c r="O974" s="223"/>
      <c r="P974" s="223"/>
      <c r="Q974" s="223"/>
      <c r="R974" s="223"/>
      <c r="S974" s="223"/>
      <c r="T974" s="223"/>
      <c r="U974" s="223"/>
      <c r="V974" s="223"/>
      <c r="W974" s="223"/>
      <c r="X974" s="223"/>
      <c r="Y974" s="223"/>
      <c r="Z974" s="223"/>
      <c r="AA974" s="223"/>
    </row>
    <row r="975">
      <c r="A975" s="223"/>
      <c r="B975" s="223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  <c r="O975" s="223"/>
      <c r="P975" s="223"/>
      <c r="Q975" s="223"/>
      <c r="R975" s="223"/>
      <c r="S975" s="223"/>
      <c r="T975" s="223"/>
      <c r="U975" s="223"/>
      <c r="V975" s="223"/>
      <c r="W975" s="223"/>
      <c r="X975" s="223"/>
      <c r="Y975" s="223"/>
      <c r="Z975" s="223"/>
      <c r="AA975" s="223"/>
    </row>
    <row r="976">
      <c r="A976" s="223"/>
      <c r="B976" s="223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  <c r="O976" s="223"/>
      <c r="P976" s="223"/>
      <c r="Q976" s="223"/>
      <c r="R976" s="223"/>
      <c r="S976" s="223"/>
      <c r="T976" s="223"/>
      <c r="U976" s="223"/>
      <c r="V976" s="223"/>
      <c r="W976" s="223"/>
      <c r="X976" s="223"/>
      <c r="Y976" s="223"/>
      <c r="Z976" s="223"/>
      <c r="AA976" s="223"/>
    </row>
    <row r="977">
      <c r="A977" s="223"/>
      <c r="B977" s="223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  <c r="O977" s="223"/>
      <c r="P977" s="223"/>
      <c r="Q977" s="223"/>
      <c r="R977" s="223"/>
      <c r="S977" s="223"/>
      <c r="T977" s="223"/>
      <c r="U977" s="223"/>
      <c r="V977" s="223"/>
      <c r="W977" s="223"/>
      <c r="X977" s="223"/>
      <c r="Y977" s="223"/>
      <c r="Z977" s="223"/>
      <c r="AA977" s="223"/>
    </row>
    <row r="978">
      <c r="A978" s="223"/>
      <c r="B978" s="223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  <c r="O978" s="223"/>
      <c r="P978" s="223"/>
      <c r="Q978" s="223"/>
      <c r="R978" s="223"/>
      <c r="S978" s="223"/>
      <c r="T978" s="223"/>
      <c r="U978" s="223"/>
      <c r="V978" s="223"/>
      <c r="W978" s="223"/>
      <c r="X978" s="223"/>
      <c r="Y978" s="223"/>
      <c r="Z978" s="223"/>
      <c r="AA978" s="223"/>
    </row>
    <row r="979">
      <c r="A979" s="223"/>
      <c r="B979" s="223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  <c r="O979" s="223"/>
      <c r="P979" s="223"/>
      <c r="Q979" s="223"/>
      <c r="R979" s="223"/>
      <c r="S979" s="223"/>
      <c r="T979" s="223"/>
      <c r="U979" s="223"/>
      <c r="V979" s="223"/>
      <c r="W979" s="223"/>
      <c r="X979" s="223"/>
      <c r="Y979" s="223"/>
      <c r="Z979" s="223"/>
      <c r="AA979" s="223"/>
    </row>
    <row r="980">
      <c r="A980" s="223"/>
      <c r="B980" s="223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  <c r="O980" s="223"/>
      <c r="P980" s="223"/>
      <c r="Q980" s="223"/>
      <c r="R980" s="223"/>
      <c r="S980" s="223"/>
      <c r="T980" s="223"/>
      <c r="U980" s="223"/>
      <c r="V980" s="223"/>
      <c r="W980" s="223"/>
      <c r="X980" s="223"/>
      <c r="Y980" s="223"/>
      <c r="Z980" s="223"/>
      <c r="AA980" s="223"/>
    </row>
    <row r="981">
      <c r="A981" s="223"/>
      <c r="B981" s="223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  <c r="O981" s="223"/>
      <c r="P981" s="223"/>
      <c r="Q981" s="223"/>
      <c r="R981" s="223"/>
      <c r="S981" s="223"/>
      <c r="T981" s="223"/>
      <c r="U981" s="223"/>
      <c r="V981" s="223"/>
      <c r="W981" s="223"/>
      <c r="X981" s="223"/>
      <c r="Y981" s="223"/>
      <c r="Z981" s="223"/>
      <c r="AA981" s="223"/>
    </row>
    <row r="982">
      <c r="A982" s="223"/>
      <c r="B982" s="223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  <c r="O982" s="223"/>
      <c r="P982" s="223"/>
      <c r="Q982" s="223"/>
      <c r="R982" s="223"/>
      <c r="S982" s="223"/>
      <c r="T982" s="223"/>
      <c r="U982" s="223"/>
      <c r="V982" s="223"/>
      <c r="W982" s="223"/>
      <c r="X982" s="223"/>
      <c r="Y982" s="223"/>
      <c r="Z982" s="223"/>
      <c r="AA982" s="223"/>
    </row>
    <row r="983">
      <c r="A983" s="223"/>
      <c r="B983" s="223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  <c r="O983" s="223"/>
      <c r="P983" s="223"/>
      <c r="Q983" s="223"/>
      <c r="R983" s="223"/>
      <c r="S983" s="223"/>
      <c r="T983" s="223"/>
      <c r="U983" s="223"/>
      <c r="V983" s="223"/>
      <c r="W983" s="223"/>
      <c r="X983" s="223"/>
      <c r="Y983" s="223"/>
      <c r="Z983" s="223"/>
      <c r="AA983" s="223"/>
    </row>
    <row r="984">
      <c r="A984" s="223"/>
      <c r="B984" s="223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  <c r="O984" s="223"/>
      <c r="P984" s="223"/>
      <c r="Q984" s="223"/>
      <c r="R984" s="223"/>
      <c r="S984" s="223"/>
      <c r="T984" s="223"/>
      <c r="U984" s="223"/>
      <c r="V984" s="223"/>
      <c r="W984" s="223"/>
      <c r="X984" s="223"/>
      <c r="Y984" s="223"/>
      <c r="Z984" s="223"/>
      <c r="AA984" s="223"/>
    </row>
    <row r="985">
      <c r="A985" s="223"/>
      <c r="B985" s="223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  <c r="O985" s="223"/>
      <c r="P985" s="223"/>
      <c r="Q985" s="223"/>
      <c r="R985" s="223"/>
      <c r="S985" s="223"/>
      <c r="T985" s="223"/>
      <c r="U985" s="223"/>
      <c r="V985" s="223"/>
      <c r="W985" s="223"/>
      <c r="X985" s="223"/>
      <c r="Y985" s="223"/>
      <c r="Z985" s="223"/>
      <c r="AA985" s="223"/>
    </row>
    <row r="986">
      <c r="A986" s="223"/>
      <c r="B986" s="223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  <c r="O986" s="223"/>
      <c r="P986" s="223"/>
      <c r="Q986" s="223"/>
      <c r="R986" s="223"/>
      <c r="S986" s="223"/>
      <c r="T986" s="223"/>
      <c r="U986" s="223"/>
      <c r="V986" s="223"/>
      <c r="W986" s="223"/>
      <c r="X986" s="223"/>
      <c r="Y986" s="223"/>
      <c r="Z986" s="223"/>
      <c r="AA986" s="223"/>
    </row>
    <row r="987">
      <c r="A987" s="223"/>
      <c r="B987" s="223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  <c r="O987" s="223"/>
      <c r="P987" s="223"/>
      <c r="Q987" s="223"/>
      <c r="R987" s="223"/>
      <c r="S987" s="223"/>
      <c r="T987" s="223"/>
      <c r="U987" s="223"/>
      <c r="V987" s="223"/>
      <c r="W987" s="223"/>
      <c r="X987" s="223"/>
      <c r="Y987" s="223"/>
      <c r="Z987" s="223"/>
      <c r="AA987" s="223"/>
    </row>
    <row r="988">
      <c r="A988" s="223"/>
      <c r="B988" s="223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  <c r="O988" s="223"/>
      <c r="P988" s="223"/>
      <c r="Q988" s="223"/>
      <c r="R988" s="223"/>
      <c r="S988" s="223"/>
      <c r="T988" s="223"/>
      <c r="U988" s="223"/>
      <c r="V988" s="223"/>
      <c r="W988" s="223"/>
      <c r="X988" s="223"/>
      <c r="Y988" s="223"/>
      <c r="Z988" s="223"/>
      <c r="AA988" s="223"/>
    </row>
    <row r="989">
      <c r="A989" s="223"/>
      <c r="B989" s="223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  <c r="O989" s="223"/>
      <c r="P989" s="223"/>
      <c r="Q989" s="223"/>
      <c r="R989" s="223"/>
      <c r="S989" s="223"/>
      <c r="T989" s="223"/>
      <c r="U989" s="223"/>
      <c r="V989" s="223"/>
      <c r="W989" s="223"/>
      <c r="X989" s="223"/>
      <c r="Y989" s="223"/>
      <c r="Z989" s="223"/>
      <c r="AA989" s="223"/>
    </row>
    <row r="990">
      <c r="A990" s="223"/>
      <c r="B990" s="223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  <c r="O990" s="223"/>
      <c r="P990" s="223"/>
      <c r="Q990" s="223"/>
      <c r="R990" s="223"/>
      <c r="S990" s="223"/>
      <c r="T990" s="223"/>
      <c r="U990" s="223"/>
      <c r="V990" s="223"/>
      <c r="W990" s="223"/>
      <c r="X990" s="223"/>
      <c r="Y990" s="223"/>
      <c r="Z990" s="223"/>
      <c r="AA990" s="223"/>
    </row>
    <row r="991">
      <c r="A991" s="223"/>
      <c r="B991" s="223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  <c r="O991" s="223"/>
      <c r="P991" s="223"/>
      <c r="Q991" s="223"/>
      <c r="R991" s="223"/>
      <c r="S991" s="223"/>
      <c r="T991" s="223"/>
      <c r="U991" s="223"/>
      <c r="V991" s="223"/>
      <c r="W991" s="223"/>
      <c r="X991" s="223"/>
      <c r="Y991" s="223"/>
      <c r="Z991" s="223"/>
      <c r="AA991" s="223"/>
    </row>
    <row r="992">
      <c r="A992" s="223"/>
      <c r="B992" s="223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  <c r="O992" s="223"/>
      <c r="P992" s="223"/>
      <c r="Q992" s="223"/>
      <c r="R992" s="223"/>
      <c r="S992" s="223"/>
      <c r="T992" s="223"/>
      <c r="U992" s="223"/>
      <c r="V992" s="223"/>
      <c r="W992" s="223"/>
      <c r="X992" s="223"/>
      <c r="Y992" s="223"/>
      <c r="Z992" s="223"/>
      <c r="AA992" s="223"/>
    </row>
    <row r="993">
      <c r="A993" s="223"/>
      <c r="B993" s="223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  <c r="O993" s="223"/>
      <c r="P993" s="223"/>
      <c r="Q993" s="223"/>
      <c r="R993" s="223"/>
      <c r="S993" s="223"/>
      <c r="T993" s="223"/>
      <c r="U993" s="223"/>
      <c r="V993" s="223"/>
      <c r="W993" s="223"/>
      <c r="X993" s="223"/>
      <c r="Y993" s="223"/>
      <c r="Z993" s="223"/>
      <c r="AA993" s="223"/>
    </row>
    <row r="994">
      <c r="A994" s="223"/>
      <c r="B994" s="223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  <c r="O994" s="223"/>
      <c r="P994" s="223"/>
      <c r="Q994" s="223"/>
      <c r="R994" s="223"/>
      <c r="S994" s="223"/>
      <c r="T994" s="223"/>
      <c r="U994" s="223"/>
      <c r="V994" s="223"/>
      <c r="W994" s="223"/>
      <c r="X994" s="223"/>
      <c r="Y994" s="223"/>
      <c r="Z994" s="223"/>
      <c r="AA994" s="223"/>
    </row>
    <row r="995">
      <c r="A995" s="223"/>
      <c r="B995" s="223"/>
      <c r="C995" s="223"/>
      <c r="D995" s="223"/>
      <c r="E995" s="223"/>
      <c r="F995" s="223"/>
      <c r="G995" s="223"/>
      <c r="H995" s="223"/>
      <c r="I995" s="223"/>
      <c r="J995" s="223"/>
      <c r="K995" s="223"/>
      <c r="L995" s="223"/>
      <c r="M995" s="223"/>
      <c r="N995" s="223"/>
      <c r="O995" s="223"/>
      <c r="P995" s="223"/>
      <c r="Q995" s="223"/>
      <c r="R995" s="223"/>
      <c r="S995" s="223"/>
      <c r="T995" s="223"/>
      <c r="U995" s="223"/>
      <c r="V995" s="223"/>
      <c r="W995" s="223"/>
      <c r="X995" s="223"/>
      <c r="Y995" s="223"/>
      <c r="Z995" s="223"/>
      <c r="AA995" s="223"/>
    </row>
    <row r="996">
      <c r="A996" s="223"/>
      <c r="B996" s="223"/>
      <c r="C996" s="223"/>
      <c r="D996" s="223"/>
      <c r="E996" s="223"/>
      <c r="F996" s="223"/>
      <c r="G996" s="223"/>
      <c r="H996" s="223"/>
      <c r="I996" s="223"/>
      <c r="J996" s="223"/>
      <c r="K996" s="223"/>
      <c r="L996" s="223"/>
      <c r="M996" s="223"/>
      <c r="N996" s="223"/>
      <c r="O996" s="223"/>
      <c r="P996" s="223"/>
      <c r="Q996" s="223"/>
      <c r="R996" s="223"/>
      <c r="S996" s="223"/>
      <c r="T996" s="223"/>
      <c r="U996" s="223"/>
      <c r="V996" s="223"/>
      <c r="W996" s="223"/>
      <c r="X996" s="223"/>
      <c r="Y996" s="223"/>
      <c r="Z996" s="223"/>
      <c r="AA996" s="223"/>
    </row>
    <row r="997">
      <c r="A997" s="223"/>
      <c r="B997" s="223"/>
      <c r="C997" s="223"/>
      <c r="D997" s="223"/>
      <c r="E997" s="223"/>
      <c r="F997" s="223"/>
      <c r="G997" s="223"/>
      <c r="H997" s="223"/>
      <c r="I997" s="223"/>
      <c r="J997" s="223"/>
      <c r="K997" s="223"/>
      <c r="L997" s="223"/>
      <c r="M997" s="223"/>
      <c r="N997" s="223"/>
      <c r="O997" s="223"/>
      <c r="P997" s="223"/>
      <c r="Q997" s="223"/>
      <c r="R997" s="223"/>
      <c r="S997" s="223"/>
      <c r="T997" s="223"/>
      <c r="U997" s="223"/>
      <c r="V997" s="223"/>
      <c r="W997" s="223"/>
      <c r="X997" s="223"/>
      <c r="Y997" s="223"/>
      <c r="Z997" s="223"/>
      <c r="AA997" s="223"/>
    </row>
    <row r="998">
      <c r="A998" s="223"/>
      <c r="B998" s="223"/>
      <c r="C998" s="223"/>
      <c r="D998" s="223"/>
      <c r="E998" s="223"/>
      <c r="F998" s="223"/>
      <c r="G998" s="223"/>
      <c r="H998" s="223"/>
      <c r="I998" s="223"/>
      <c r="J998" s="223"/>
      <c r="K998" s="223"/>
      <c r="L998" s="223"/>
      <c r="M998" s="223"/>
      <c r="N998" s="223"/>
      <c r="O998" s="223"/>
      <c r="P998" s="223"/>
      <c r="Q998" s="223"/>
      <c r="R998" s="223"/>
      <c r="S998" s="223"/>
      <c r="T998" s="223"/>
      <c r="U998" s="223"/>
      <c r="V998" s="223"/>
      <c r="W998" s="223"/>
      <c r="X998" s="223"/>
      <c r="Y998" s="223"/>
      <c r="Z998" s="223"/>
      <c r="AA998" s="223"/>
    </row>
    <row r="999">
      <c r="A999" s="223"/>
      <c r="B999" s="223"/>
      <c r="C999" s="223"/>
      <c r="D999" s="223"/>
      <c r="E999" s="223"/>
      <c r="F999" s="223"/>
      <c r="G999" s="223"/>
      <c r="H999" s="223"/>
      <c r="I999" s="223"/>
      <c r="J999" s="223"/>
      <c r="K999" s="223"/>
      <c r="L999" s="223"/>
      <c r="M999" s="223"/>
      <c r="N999" s="223"/>
      <c r="O999" s="223"/>
      <c r="P999" s="223"/>
      <c r="Q999" s="223"/>
      <c r="R999" s="223"/>
      <c r="S999" s="223"/>
      <c r="T999" s="223"/>
      <c r="U999" s="223"/>
      <c r="V999" s="223"/>
      <c r="W999" s="223"/>
      <c r="X999" s="223"/>
      <c r="Y999" s="223"/>
      <c r="Z999" s="223"/>
      <c r="AA999" s="223"/>
    </row>
  </sheetData>
  <conditionalFormatting sqref="C3:C23">
    <cfRule type="cellIs" dxfId="11" priority="1" operator="greaterThanOrEqual">
      <formula>1</formula>
    </cfRule>
  </conditionalFormatting>
  <conditionalFormatting sqref="C26:C38">
    <cfRule type="cellIs" dxfId="11" priority="2" operator="greaterThanOrEqual">
      <formula>1</formula>
    </cfRule>
  </conditionalFormatting>
  <conditionalFormatting sqref="F3:F27">
    <cfRule type="cellIs" dxfId="11" priority="3" operator="greaterThanOrEqual">
      <formula>1</formula>
    </cfRule>
  </conditionalFormatting>
  <conditionalFormatting sqref="H3:I11">
    <cfRule type="cellIs" dxfId="11" priority="4" operator="greaterThanOrEqual">
      <formula>1</formula>
    </cfRule>
  </conditionalFormatting>
  <conditionalFormatting sqref="H14:I24">
    <cfRule type="cellIs" dxfId="11" priority="5" operator="greaterThanOrEqual">
      <formula>1</formula>
    </cfRule>
  </conditionalFormatting>
  <conditionalFormatting sqref="H24:I29">
    <cfRule type="cellIs" dxfId="11" priority="6" operator="greaterThanOrEqual">
      <formula>1</formula>
    </cfRule>
  </conditionalFormatting>
  <conditionalFormatting sqref="I10:I15">
    <cfRule type="cellIs" dxfId="11" priority="7" operator="greaterThanOrEqual">
      <formula>1</formula>
    </cfRule>
  </conditionalFormatting>
  <conditionalFormatting sqref="F30:F41">
    <cfRule type="cellIs" dxfId="11" priority="8" operator="greaterThanOrEqual">
      <formula>1</formula>
    </cfRule>
  </conditionalFormatting>
  <conditionalFormatting sqref="F44:F54">
    <cfRule type="cellIs" dxfId="11" priority="9" operator="greaterThanOrEqual">
      <formula>1</formula>
    </cfRule>
  </conditionalFormatting>
  <conditionalFormatting sqref="C41:C46">
    <cfRule type="cellIs" dxfId="11" priority="10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23.0"/>
    <col customWidth="1" min="4" max="4" width="39.71"/>
    <col customWidth="1" min="5" max="5" width="17.86"/>
  </cols>
  <sheetData>
    <row r="1">
      <c r="A1" s="254" t="s">
        <v>1102</v>
      </c>
      <c r="B1" s="255"/>
      <c r="C1" s="256"/>
      <c r="D1" s="254" t="s">
        <v>1103</v>
      </c>
      <c r="E1" s="256"/>
      <c r="F1" s="256"/>
      <c r="G1" s="254" t="s">
        <v>1104</v>
      </c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</row>
    <row r="2">
      <c r="A2" s="254" t="s">
        <v>1105</v>
      </c>
      <c r="B2" s="257">
        <v>650000.0</v>
      </c>
      <c r="C2" s="256"/>
      <c r="D2" s="254" t="s">
        <v>1106</v>
      </c>
      <c r="E2" s="257">
        <v>252015.0</v>
      </c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</row>
    <row r="3">
      <c r="A3" s="254" t="s">
        <v>1107</v>
      </c>
      <c r="B3" s="257">
        <v>300000.0</v>
      </c>
      <c r="C3" s="256"/>
      <c r="D3" s="254" t="s">
        <v>1108</v>
      </c>
      <c r="E3" s="255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</row>
    <row r="4">
      <c r="A4" s="254" t="s">
        <v>1109</v>
      </c>
      <c r="B4" s="257">
        <v>350000.0</v>
      </c>
      <c r="C4" s="256"/>
      <c r="D4" s="254" t="s">
        <v>1110</v>
      </c>
      <c r="E4" s="255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</row>
    <row r="5">
      <c r="A5" s="254" t="s">
        <v>1111</v>
      </c>
      <c r="B5" s="257">
        <v>250000.0</v>
      </c>
      <c r="C5" s="256"/>
      <c r="D5" s="254" t="s">
        <v>1112</v>
      </c>
      <c r="E5" s="257">
        <v>28552.5</v>
      </c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</row>
    <row r="6">
      <c r="A6" s="254" t="s">
        <v>1113</v>
      </c>
      <c r="B6" s="257">
        <v>18000.0</v>
      </c>
      <c r="C6" s="256"/>
      <c r="D6" s="254" t="s">
        <v>1114</v>
      </c>
      <c r="E6" s="257">
        <v>35000.0</v>
      </c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</row>
    <row r="7">
      <c r="A7" s="254" t="s">
        <v>1115</v>
      </c>
      <c r="B7" s="255"/>
      <c r="C7" s="256"/>
      <c r="D7" s="254" t="s">
        <v>1116</v>
      </c>
      <c r="E7" s="257">
        <v>180000.0</v>
      </c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</row>
    <row r="8">
      <c r="A8" s="254" t="s">
        <v>1117</v>
      </c>
      <c r="B8" s="255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</row>
    <row r="9">
      <c r="Y9" s="256"/>
      <c r="Z9" s="256"/>
      <c r="AA9" s="256"/>
    </row>
    <row r="10">
      <c r="Y10" s="256"/>
      <c r="Z10" s="256"/>
      <c r="AA10" s="256"/>
    </row>
    <row r="11">
      <c r="Y11" s="256"/>
      <c r="Z11" s="256"/>
      <c r="AA11" s="256"/>
    </row>
    <row r="12">
      <c r="Y12" s="256"/>
      <c r="Z12" s="256"/>
      <c r="AA12" s="256"/>
    </row>
    <row r="13">
      <c r="Y13" s="256"/>
      <c r="Z13" s="256"/>
      <c r="AA13" s="256"/>
    </row>
    <row r="14">
      <c r="Y14" s="256"/>
      <c r="Z14" s="256"/>
      <c r="AA14" s="256"/>
    </row>
    <row r="15">
      <c r="A15" s="256"/>
      <c r="B15" s="255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</row>
    <row r="16">
      <c r="A16" s="256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</row>
    <row r="17">
      <c r="A17" s="256"/>
      <c r="B17" s="255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</row>
    <row r="18">
      <c r="A18" s="256"/>
      <c r="B18" s="255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</row>
    <row r="19">
      <c r="A19" s="256"/>
      <c r="B19" s="255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</row>
    <row r="20">
      <c r="A20" s="256"/>
      <c r="B20" s="255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</row>
    <row r="21">
      <c r="A21" s="256"/>
      <c r="B21" s="255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</row>
    <row r="22">
      <c r="A22" s="256"/>
      <c r="B22" s="255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</row>
    <row r="23">
      <c r="A23" s="256"/>
      <c r="B23" s="255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</row>
    <row r="24">
      <c r="A24" s="256"/>
      <c r="B24" s="255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</row>
    <row r="25">
      <c r="A25" s="256"/>
      <c r="B25" s="255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</row>
    <row r="26">
      <c r="A26" s="256"/>
      <c r="B26" s="255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</row>
    <row r="27">
      <c r="A27" s="256"/>
      <c r="B27" s="255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</row>
    <row r="28">
      <c r="A28" s="256"/>
      <c r="B28" s="255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</row>
    <row r="29">
      <c r="A29" s="256"/>
      <c r="B29" s="255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</row>
    <row r="30">
      <c r="A30" s="256"/>
      <c r="B30" s="255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</row>
    <row r="31">
      <c r="A31" s="256"/>
      <c r="B31" s="255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</row>
    <row r="32">
      <c r="A32" s="256"/>
      <c r="B32" s="255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</row>
    <row r="33">
      <c r="A33" s="256"/>
      <c r="B33" s="255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</row>
    <row r="34">
      <c r="A34" s="256"/>
      <c r="B34" s="255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</row>
    <row r="35">
      <c r="A35" s="256"/>
      <c r="B35" s="255"/>
      <c r="C35" s="256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</row>
    <row r="36">
      <c r="A36" s="256"/>
      <c r="B36" s="255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</row>
    <row r="37">
      <c r="A37" s="256"/>
      <c r="B37" s="255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</row>
    <row r="38">
      <c r="A38" s="256"/>
      <c r="B38" s="255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</row>
    <row r="39">
      <c r="A39" s="256"/>
      <c r="B39" s="255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</row>
    <row r="40">
      <c r="A40" s="256"/>
      <c r="B40" s="255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</row>
    <row r="41">
      <c r="A41" s="256"/>
      <c r="B41" s="255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</row>
    <row r="42">
      <c r="A42" s="256"/>
      <c r="B42" s="255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</row>
    <row r="43">
      <c r="A43" s="256"/>
      <c r="B43" s="255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</row>
    <row r="44">
      <c r="A44" s="256"/>
      <c r="B44" s="255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</row>
    <row r="45">
      <c r="A45" s="256"/>
      <c r="B45" s="255"/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</row>
    <row r="46">
      <c r="A46" s="256"/>
      <c r="B46" s="255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</row>
    <row r="47">
      <c r="A47" s="256"/>
      <c r="B47" s="255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</row>
    <row r="48">
      <c r="A48" s="256"/>
      <c r="B48" s="255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</row>
    <row r="49">
      <c r="A49" s="256"/>
      <c r="B49" s="255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</row>
    <row r="50">
      <c r="A50" s="256"/>
      <c r="B50" s="255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</row>
    <row r="51">
      <c r="A51" s="256"/>
      <c r="B51" s="255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</row>
    <row r="52">
      <c r="A52" s="256"/>
      <c r="B52" s="255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</row>
    <row r="53">
      <c r="A53" s="256"/>
      <c r="B53" s="255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</row>
    <row r="54">
      <c r="A54" s="256"/>
      <c r="B54" s="255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</row>
    <row r="55">
      <c r="A55" s="256"/>
      <c r="B55" s="255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</row>
    <row r="56">
      <c r="A56" s="256"/>
      <c r="B56" s="255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</row>
    <row r="57">
      <c r="A57" s="256"/>
      <c r="B57" s="255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</row>
    <row r="58">
      <c r="A58" s="256"/>
      <c r="B58" s="255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</row>
    <row r="59">
      <c r="A59" s="256"/>
      <c r="B59" s="255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</row>
    <row r="60">
      <c r="A60" s="256"/>
      <c r="B60" s="255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</row>
    <row r="61">
      <c r="A61" s="256"/>
      <c r="B61" s="255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</row>
    <row r="62">
      <c r="A62" s="256"/>
      <c r="B62" s="255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</row>
    <row r="63">
      <c r="A63" s="256"/>
      <c r="B63" s="255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</row>
    <row r="64">
      <c r="A64" s="256"/>
      <c r="B64" s="255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</row>
    <row r="65">
      <c r="A65" s="256"/>
      <c r="B65" s="255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</row>
    <row r="66">
      <c r="A66" s="256"/>
      <c r="B66" s="255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</row>
    <row r="67">
      <c r="A67" s="256"/>
      <c r="B67" s="255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</row>
    <row r="68">
      <c r="A68" s="256"/>
      <c r="B68" s="255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</row>
    <row r="69">
      <c r="A69" s="256"/>
      <c r="B69" s="255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</row>
    <row r="70">
      <c r="A70" s="256"/>
      <c r="B70" s="255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</row>
    <row r="71">
      <c r="A71" s="256"/>
      <c r="B71" s="255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</row>
    <row r="72">
      <c r="A72" s="256"/>
      <c r="B72" s="255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</row>
    <row r="73">
      <c r="A73" s="256"/>
      <c r="B73" s="255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</row>
    <row r="74">
      <c r="A74" s="256"/>
      <c r="B74" s="255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</row>
    <row r="75">
      <c r="A75" s="256"/>
      <c r="B75" s="255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</row>
    <row r="76">
      <c r="A76" s="256"/>
      <c r="B76" s="255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</row>
    <row r="77">
      <c r="A77" s="256"/>
      <c r="B77" s="255"/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</row>
    <row r="78">
      <c r="A78" s="256"/>
      <c r="B78" s="255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</row>
    <row r="79">
      <c r="A79" s="256"/>
      <c r="B79" s="255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</row>
    <row r="80">
      <c r="A80" s="256"/>
      <c r="B80" s="255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</row>
    <row r="81">
      <c r="A81" s="256"/>
      <c r="B81" s="255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</row>
    <row r="82">
      <c r="A82" s="256"/>
      <c r="B82" s="255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</row>
    <row r="83">
      <c r="A83" s="256"/>
      <c r="B83" s="255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</row>
    <row r="84">
      <c r="A84" s="256"/>
      <c r="B84" s="255"/>
      <c r="C84" s="256"/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</row>
    <row r="85">
      <c r="A85" s="256"/>
      <c r="B85" s="255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</row>
    <row r="86">
      <c r="A86" s="256"/>
      <c r="B86" s="255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</row>
    <row r="87">
      <c r="A87" s="256"/>
      <c r="B87" s="255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</row>
    <row r="88">
      <c r="A88" s="256"/>
      <c r="B88" s="255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</row>
    <row r="89">
      <c r="A89" s="256"/>
      <c r="B89" s="255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</row>
    <row r="90">
      <c r="A90" s="256"/>
      <c r="B90" s="255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</row>
    <row r="91">
      <c r="A91" s="256"/>
      <c r="B91" s="255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</row>
    <row r="92">
      <c r="A92" s="256"/>
      <c r="B92" s="255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</row>
    <row r="93">
      <c r="A93" s="256"/>
      <c r="B93" s="255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</row>
    <row r="94">
      <c r="A94" s="256"/>
      <c r="B94" s="255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</row>
    <row r="95">
      <c r="A95" s="256"/>
      <c r="B95" s="255"/>
      <c r="C95" s="256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</row>
    <row r="96">
      <c r="A96" s="256"/>
      <c r="B96" s="255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</row>
    <row r="97">
      <c r="A97" s="256"/>
      <c r="B97" s="255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</row>
    <row r="98">
      <c r="A98" s="256"/>
      <c r="B98" s="255"/>
      <c r="C98" s="256"/>
      <c r="D98" s="256"/>
      <c r="E98" s="256"/>
      <c r="F98" s="256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</row>
    <row r="99">
      <c r="A99" s="256"/>
      <c r="B99" s="255"/>
      <c r="C99" s="256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</row>
    <row r="100">
      <c r="A100" s="256"/>
      <c r="B100" s="255"/>
      <c r="C100" s="256"/>
      <c r="D100" s="256"/>
      <c r="E100" s="256"/>
      <c r="F100" s="256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</row>
    <row r="101">
      <c r="A101" s="256"/>
      <c r="B101" s="255"/>
      <c r="C101" s="256"/>
      <c r="D101" s="256"/>
      <c r="E101" s="256"/>
      <c r="F101" s="25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</row>
    <row r="102">
      <c r="A102" s="256"/>
      <c r="B102" s="255"/>
      <c r="C102" s="256"/>
      <c r="D102" s="256"/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</row>
    <row r="103">
      <c r="A103" s="256"/>
      <c r="B103" s="255"/>
      <c r="C103" s="256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</row>
    <row r="104">
      <c r="A104" s="256"/>
      <c r="B104" s="255"/>
      <c r="C104" s="256"/>
      <c r="D104" s="256"/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</row>
    <row r="105">
      <c r="A105" s="256"/>
      <c r="B105" s="255"/>
      <c r="C105" s="256"/>
      <c r="D105" s="256"/>
      <c r="E105" s="256"/>
      <c r="F105" s="256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</row>
    <row r="106">
      <c r="A106" s="256"/>
      <c r="B106" s="255"/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</row>
    <row r="107">
      <c r="A107" s="256"/>
      <c r="B107" s="255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</row>
    <row r="108">
      <c r="A108" s="256"/>
      <c r="B108" s="255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</row>
    <row r="109">
      <c r="A109" s="256"/>
      <c r="B109" s="255"/>
      <c r="C109" s="256"/>
      <c r="D109" s="256"/>
      <c r="E109" s="256"/>
      <c r="F109" s="25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</row>
    <row r="110">
      <c r="A110" s="256"/>
      <c r="B110" s="255"/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</row>
    <row r="111">
      <c r="A111" s="256"/>
      <c r="B111" s="255"/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</row>
    <row r="112">
      <c r="A112" s="256"/>
      <c r="B112" s="255"/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</row>
    <row r="113">
      <c r="A113" s="256"/>
      <c r="B113" s="255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</row>
    <row r="114">
      <c r="A114" s="256"/>
      <c r="B114" s="255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</row>
    <row r="115">
      <c r="A115" s="256"/>
      <c r="B115" s="255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</row>
    <row r="116">
      <c r="A116" s="256"/>
      <c r="B116" s="255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</row>
    <row r="117">
      <c r="A117" s="256"/>
      <c r="B117" s="255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6"/>
    </row>
    <row r="118">
      <c r="A118" s="256"/>
      <c r="B118" s="255"/>
      <c r="C118" s="256"/>
      <c r="D118" s="256"/>
      <c r="E118" s="256"/>
      <c r="F118" s="256"/>
      <c r="G118" s="256"/>
      <c r="H118" s="256"/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  <c r="AA118" s="256"/>
    </row>
    <row r="119">
      <c r="A119" s="256"/>
      <c r="B119" s="255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</row>
    <row r="120">
      <c r="A120" s="256"/>
      <c r="B120" s="255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</row>
    <row r="121">
      <c r="A121" s="256"/>
      <c r="B121" s="255"/>
      <c r="C121" s="256"/>
      <c r="D121" s="256"/>
      <c r="E121" s="256"/>
      <c r="F121" s="25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</row>
    <row r="122">
      <c r="A122" s="256"/>
      <c r="B122" s="255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  <c r="AA122" s="256"/>
    </row>
    <row r="123">
      <c r="A123" s="256"/>
      <c r="B123" s="255"/>
      <c r="C123" s="256"/>
      <c r="D123" s="256"/>
      <c r="E123" s="256"/>
      <c r="F123" s="25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  <c r="AA123" s="256"/>
    </row>
    <row r="124">
      <c r="A124" s="256"/>
      <c r="B124" s="255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  <c r="AA124" s="256"/>
    </row>
    <row r="125">
      <c r="A125" s="256"/>
      <c r="B125" s="255"/>
      <c r="C125" s="256"/>
      <c r="D125" s="256"/>
      <c r="E125" s="256"/>
      <c r="F125" s="25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  <c r="AA125" s="256"/>
    </row>
    <row r="126">
      <c r="A126" s="256"/>
      <c r="B126" s="255"/>
      <c r="C126" s="256"/>
      <c r="D126" s="256"/>
      <c r="E126" s="256"/>
      <c r="F126" s="256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</row>
    <row r="127">
      <c r="A127" s="256"/>
      <c r="B127" s="255"/>
      <c r="C127" s="256"/>
      <c r="D127" s="256"/>
      <c r="E127" s="256"/>
      <c r="F127" s="25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  <c r="AA127" s="256"/>
    </row>
    <row r="128">
      <c r="A128" s="256"/>
      <c r="B128" s="255"/>
      <c r="C128" s="256"/>
      <c r="D128" s="256"/>
      <c r="E128" s="256"/>
      <c r="F128" s="256"/>
      <c r="G128" s="256"/>
      <c r="H128" s="256"/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  <c r="AA128" s="256"/>
    </row>
    <row r="129">
      <c r="A129" s="256"/>
      <c r="B129" s="255"/>
      <c r="C129" s="256"/>
      <c r="D129" s="256"/>
      <c r="E129" s="256"/>
      <c r="F129" s="25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</row>
    <row r="130">
      <c r="A130" s="256"/>
      <c r="B130" s="255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6"/>
    </row>
    <row r="131">
      <c r="A131" s="256"/>
      <c r="B131" s="255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  <c r="AA131" s="256"/>
    </row>
    <row r="132">
      <c r="A132" s="256"/>
      <c r="B132" s="255"/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  <c r="AA132" s="256"/>
    </row>
    <row r="133">
      <c r="A133" s="256"/>
      <c r="B133" s="255"/>
      <c r="C133" s="256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6"/>
    </row>
    <row r="134">
      <c r="A134" s="256"/>
      <c r="B134" s="255"/>
      <c r="C134" s="256"/>
      <c r="D134" s="256"/>
      <c r="E134" s="256"/>
      <c r="F134" s="256"/>
      <c r="G134" s="256"/>
      <c r="H134" s="256"/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  <c r="AA134" s="256"/>
    </row>
    <row r="135">
      <c r="A135" s="256"/>
      <c r="B135" s="255"/>
      <c r="C135" s="256"/>
      <c r="D135" s="256"/>
      <c r="E135" s="256"/>
      <c r="F135" s="256"/>
      <c r="G135" s="256"/>
      <c r="H135" s="256"/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</row>
    <row r="136">
      <c r="A136" s="256"/>
      <c r="B136" s="255"/>
      <c r="C136" s="256"/>
      <c r="D136" s="256"/>
      <c r="E136" s="256"/>
      <c r="F136" s="256"/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</row>
    <row r="137">
      <c r="A137" s="256"/>
      <c r="B137" s="255"/>
      <c r="C137" s="256"/>
      <c r="D137" s="256"/>
      <c r="E137" s="256"/>
      <c r="F137" s="256"/>
      <c r="G137" s="256"/>
      <c r="H137" s="256"/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  <c r="AA137" s="256"/>
    </row>
    <row r="138">
      <c r="A138" s="256"/>
      <c r="B138" s="255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  <c r="AA138" s="256"/>
    </row>
    <row r="139">
      <c r="A139" s="256"/>
      <c r="B139" s="255"/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</row>
    <row r="140">
      <c r="A140" s="256"/>
      <c r="B140" s="255"/>
      <c r="C140" s="256"/>
      <c r="D140" s="256"/>
      <c r="E140" s="256"/>
      <c r="F140" s="256"/>
      <c r="G140" s="256"/>
      <c r="H140" s="256"/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  <c r="AA140" s="256"/>
    </row>
    <row r="141">
      <c r="A141" s="256"/>
      <c r="B141" s="255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  <c r="AA141" s="256"/>
    </row>
    <row r="142">
      <c r="A142" s="256"/>
      <c r="B142" s="255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  <c r="AA142" s="256"/>
    </row>
    <row r="143">
      <c r="A143" s="256"/>
      <c r="B143" s="255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</row>
    <row r="144">
      <c r="A144" s="256"/>
      <c r="B144" s="255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</row>
    <row r="145">
      <c r="A145" s="256"/>
      <c r="B145" s="255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  <c r="AA145" s="256"/>
    </row>
    <row r="146">
      <c r="A146" s="256"/>
      <c r="B146" s="255"/>
      <c r="C146" s="256"/>
      <c r="D146" s="256"/>
      <c r="E146" s="256"/>
      <c r="F146" s="25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  <c r="AA146" s="256"/>
    </row>
    <row r="147">
      <c r="A147" s="256"/>
      <c r="B147" s="255"/>
      <c r="C147" s="256"/>
      <c r="D147" s="256"/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</row>
    <row r="148">
      <c r="A148" s="256"/>
      <c r="B148" s="255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</row>
    <row r="149">
      <c r="A149" s="256"/>
      <c r="B149" s="255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</row>
    <row r="150">
      <c r="A150" s="256"/>
      <c r="B150" s="255"/>
      <c r="C150" s="256"/>
      <c r="D150" s="256"/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  <c r="AA150" s="256"/>
    </row>
    <row r="151">
      <c r="A151" s="256"/>
      <c r="B151" s="255"/>
      <c r="C151" s="256"/>
      <c r="D151" s="256"/>
      <c r="E151" s="256"/>
      <c r="F151" s="256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  <c r="AA151" s="256"/>
    </row>
    <row r="152">
      <c r="A152" s="256"/>
      <c r="B152" s="255"/>
      <c r="C152" s="256"/>
      <c r="D152" s="256"/>
      <c r="E152" s="256"/>
      <c r="F152" s="256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  <c r="AA152" s="256"/>
    </row>
    <row r="153">
      <c r="A153" s="256"/>
      <c r="B153" s="255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  <c r="AA153" s="256"/>
    </row>
    <row r="154">
      <c r="A154" s="256"/>
      <c r="B154" s="255"/>
      <c r="C154" s="256"/>
      <c r="D154" s="256"/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</row>
    <row r="155">
      <c r="A155" s="256"/>
      <c r="B155" s="255"/>
      <c r="C155" s="256"/>
      <c r="D155" s="256"/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  <c r="AA155" s="256"/>
    </row>
    <row r="156">
      <c r="A156" s="256"/>
      <c r="B156" s="255"/>
      <c r="C156" s="256"/>
      <c r="D156" s="256"/>
      <c r="E156" s="256"/>
      <c r="F156" s="256"/>
      <c r="G156" s="256"/>
      <c r="H156" s="256"/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  <c r="AA156" s="256"/>
    </row>
    <row r="157">
      <c r="A157" s="256"/>
      <c r="B157" s="255"/>
      <c r="C157" s="256"/>
      <c r="D157" s="256"/>
      <c r="E157" s="256"/>
      <c r="F157" s="256"/>
      <c r="G157" s="256"/>
      <c r="H157" s="256"/>
      <c r="I157" s="256"/>
      <c r="J157" s="256"/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  <c r="AA157" s="256"/>
    </row>
    <row r="158">
      <c r="A158" s="256"/>
      <c r="B158" s="255"/>
      <c r="C158" s="256"/>
      <c r="D158" s="256"/>
      <c r="E158" s="256"/>
      <c r="F158" s="256"/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  <c r="AA158" s="256"/>
    </row>
    <row r="159">
      <c r="A159" s="256"/>
      <c r="B159" s="255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  <c r="AA159" s="256"/>
    </row>
    <row r="160">
      <c r="A160" s="256"/>
      <c r="B160" s="255"/>
      <c r="C160" s="256"/>
      <c r="D160" s="256"/>
      <c r="E160" s="256"/>
      <c r="F160" s="256"/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  <c r="AA160" s="256"/>
    </row>
    <row r="161">
      <c r="A161" s="256"/>
      <c r="B161" s="255"/>
      <c r="C161" s="256"/>
      <c r="D161" s="256"/>
      <c r="E161" s="256"/>
      <c r="F161" s="256"/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  <c r="AA161" s="256"/>
    </row>
    <row r="162">
      <c r="A162" s="256"/>
      <c r="B162" s="255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  <c r="AA162" s="256"/>
    </row>
    <row r="163">
      <c r="A163" s="256"/>
      <c r="B163" s="255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  <c r="AA163" s="256"/>
    </row>
    <row r="164">
      <c r="A164" s="256"/>
      <c r="B164" s="255"/>
      <c r="C164" s="256"/>
      <c r="D164" s="256"/>
      <c r="E164" s="256"/>
      <c r="F164" s="256"/>
      <c r="G164" s="256"/>
      <c r="H164" s="256"/>
      <c r="I164" s="256"/>
      <c r="J164" s="256"/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  <c r="AA164" s="256"/>
    </row>
    <row r="165">
      <c r="A165" s="256"/>
      <c r="B165" s="255"/>
      <c r="C165" s="256"/>
      <c r="D165" s="256"/>
      <c r="E165" s="256"/>
      <c r="F165" s="256"/>
      <c r="G165" s="256"/>
      <c r="H165" s="256"/>
      <c r="I165" s="256"/>
      <c r="J165" s="256"/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  <c r="AA165" s="256"/>
    </row>
    <row r="166">
      <c r="A166" s="256"/>
      <c r="B166" s="255"/>
      <c r="C166" s="256"/>
      <c r="D166" s="256"/>
      <c r="E166" s="256"/>
      <c r="F166" s="256"/>
      <c r="G166" s="256"/>
      <c r="H166" s="256"/>
      <c r="I166" s="256"/>
      <c r="J166" s="256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  <c r="AA166" s="256"/>
    </row>
    <row r="167">
      <c r="A167" s="256"/>
      <c r="B167" s="255"/>
      <c r="C167" s="256"/>
      <c r="D167" s="256"/>
      <c r="E167" s="256"/>
      <c r="F167" s="256"/>
      <c r="G167" s="256"/>
      <c r="H167" s="256"/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  <c r="AA167" s="256"/>
    </row>
    <row r="168">
      <c r="A168" s="256"/>
      <c r="B168" s="255"/>
      <c r="C168" s="256"/>
      <c r="D168" s="256"/>
      <c r="E168" s="256"/>
      <c r="F168" s="256"/>
      <c r="G168" s="256"/>
      <c r="H168" s="256"/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  <c r="AA168" s="256"/>
    </row>
    <row r="169">
      <c r="A169" s="256"/>
      <c r="B169" s="255"/>
      <c r="C169" s="256"/>
      <c r="D169" s="256"/>
      <c r="E169" s="256"/>
      <c r="F169" s="256"/>
      <c r="G169" s="256"/>
      <c r="H169" s="256"/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  <c r="AA169" s="256"/>
    </row>
    <row r="170">
      <c r="A170" s="256"/>
      <c r="B170" s="255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  <c r="AA170" s="256"/>
    </row>
    <row r="171">
      <c r="A171" s="256"/>
      <c r="B171" s="255"/>
      <c r="C171" s="256"/>
      <c r="D171" s="256"/>
      <c r="E171" s="256"/>
      <c r="F171" s="256"/>
      <c r="G171" s="256"/>
      <c r="H171" s="256"/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</row>
    <row r="172">
      <c r="A172" s="256"/>
      <c r="B172" s="255"/>
      <c r="C172" s="256"/>
      <c r="D172" s="256"/>
      <c r="E172" s="256"/>
      <c r="F172" s="256"/>
      <c r="G172" s="256"/>
      <c r="H172" s="256"/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  <c r="AA172" s="256"/>
    </row>
    <row r="173">
      <c r="A173" s="256"/>
      <c r="B173" s="255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  <c r="AA173" s="256"/>
    </row>
    <row r="174">
      <c r="A174" s="256"/>
      <c r="B174" s="255"/>
      <c r="C174" s="256"/>
      <c r="D174" s="256"/>
      <c r="E174" s="256"/>
      <c r="F174" s="256"/>
      <c r="G174" s="256"/>
      <c r="H174" s="256"/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</row>
    <row r="175">
      <c r="A175" s="256"/>
      <c r="B175" s="255"/>
      <c r="C175" s="256"/>
      <c r="D175" s="256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</row>
    <row r="176">
      <c r="A176" s="256"/>
      <c r="B176" s="255"/>
      <c r="C176" s="256"/>
      <c r="D176" s="256"/>
      <c r="E176" s="256"/>
      <c r="F176" s="256"/>
      <c r="G176" s="256"/>
      <c r="H176" s="256"/>
      <c r="I176" s="256"/>
      <c r="J176" s="256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  <c r="AA176" s="256"/>
    </row>
    <row r="177">
      <c r="A177" s="256"/>
      <c r="B177" s="255"/>
      <c r="C177" s="256"/>
      <c r="D177" s="256"/>
      <c r="E177" s="256"/>
      <c r="F177" s="256"/>
      <c r="G177" s="256"/>
      <c r="H177" s="256"/>
      <c r="I177" s="256"/>
      <c r="J177" s="256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  <c r="AA177" s="256"/>
    </row>
    <row r="178">
      <c r="A178" s="256"/>
      <c r="B178" s="255"/>
      <c r="C178" s="256"/>
      <c r="D178" s="256"/>
      <c r="E178" s="256"/>
      <c r="F178" s="256"/>
      <c r="G178" s="256"/>
      <c r="H178" s="256"/>
      <c r="I178" s="256"/>
      <c r="J178" s="256"/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  <c r="AA178" s="256"/>
    </row>
    <row r="179">
      <c r="A179" s="256"/>
      <c r="B179" s="255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  <c r="AA179" s="256"/>
    </row>
    <row r="180">
      <c r="A180" s="256"/>
      <c r="B180" s="255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  <c r="AA180" s="256"/>
    </row>
    <row r="181">
      <c r="A181" s="256"/>
      <c r="B181" s="255"/>
      <c r="C181" s="256"/>
      <c r="D181" s="256"/>
      <c r="E181" s="256"/>
      <c r="F181" s="256"/>
      <c r="G181" s="256"/>
      <c r="H181" s="256"/>
      <c r="I181" s="256"/>
      <c r="J181" s="256"/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  <c r="AA181" s="256"/>
    </row>
    <row r="182">
      <c r="A182" s="256"/>
      <c r="B182" s="255"/>
      <c r="C182" s="256"/>
      <c r="D182" s="256"/>
      <c r="E182" s="256"/>
      <c r="F182" s="256"/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  <c r="AA182" s="256"/>
    </row>
    <row r="183">
      <c r="A183" s="256"/>
      <c r="B183" s="255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  <c r="AA183" s="256"/>
    </row>
    <row r="184">
      <c r="A184" s="256"/>
      <c r="B184" s="255"/>
      <c r="C184" s="256"/>
      <c r="D184" s="256"/>
      <c r="E184" s="256"/>
      <c r="F184" s="256"/>
      <c r="G184" s="256"/>
      <c r="H184" s="256"/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  <c r="AA184" s="256"/>
    </row>
    <row r="185">
      <c r="A185" s="256"/>
      <c r="B185" s="255"/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  <c r="AA185" s="256"/>
    </row>
    <row r="186">
      <c r="A186" s="256"/>
      <c r="B186" s="255"/>
      <c r="C186" s="256"/>
      <c r="D186" s="256"/>
      <c r="E186" s="256"/>
      <c r="F186" s="256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  <c r="AA186" s="256"/>
    </row>
    <row r="187">
      <c r="A187" s="256"/>
      <c r="B187" s="255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  <c r="AA187" s="256"/>
    </row>
    <row r="188">
      <c r="A188" s="256"/>
      <c r="B188" s="255"/>
      <c r="C188" s="256"/>
      <c r="D188" s="256"/>
      <c r="E188" s="256"/>
      <c r="F188" s="256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  <c r="AA188" s="256"/>
    </row>
    <row r="189">
      <c r="A189" s="256"/>
      <c r="B189" s="255"/>
      <c r="C189" s="256"/>
      <c r="D189" s="256"/>
      <c r="E189" s="256"/>
      <c r="F189" s="256"/>
      <c r="G189" s="256"/>
      <c r="H189" s="256"/>
      <c r="I189" s="256"/>
      <c r="J189" s="256"/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  <c r="AA189" s="256"/>
    </row>
    <row r="190">
      <c r="A190" s="256"/>
      <c r="B190" s="255"/>
      <c r="C190" s="256"/>
      <c r="D190" s="256"/>
      <c r="E190" s="256"/>
      <c r="F190" s="256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  <c r="AA190" s="256"/>
    </row>
    <row r="191">
      <c r="A191" s="256"/>
      <c r="B191" s="255"/>
      <c r="C191" s="256"/>
      <c r="D191" s="256"/>
      <c r="E191" s="256"/>
      <c r="F191" s="256"/>
      <c r="G191" s="256"/>
      <c r="H191" s="256"/>
      <c r="I191" s="256"/>
      <c r="J191" s="256"/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  <c r="AA191" s="256"/>
    </row>
    <row r="192">
      <c r="A192" s="256"/>
      <c r="B192" s="255"/>
      <c r="C192" s="256"/>
      <c r="D192" s="256"/>
      <c r="E192" s="256"/>
      <c r="F192" s="256"/>
      <c r="G192" s="256"/>
      <c r="H192" s="256"/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  <c r="AA192" s="256"/>
    </row>
    <row r="193">
      <c r="A193" s="256"/>
      <c r="B193" s="255"/>
      <c r="C193" s="256"/>
      <c r="D193" s="256"/>
      <c r="E193" s="256"/>
      <c r="F193" s="256"/>
      <c r="G193" s="256"/>
      <c r="H193" s="256"/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  <c r="AA193" s="256"/>
    </row>
    <row r="194">
      <c r="A194" s="256"/>
      <c r="B194" s="255"/>
      <c r="C194" s="256"/>
      <c r="D194" s="256"/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  <c r="AA194" s="256"/>
    </row>
    <row r="195">
      <c r="A195" s="256"/>
      <c r="B195" s="255"/>
      <c r="C195" s="256"/>
      <c r="D195" s="256"/>
      <c r="E195" s="256"/>
      <c r="F195" s="256"/>
      <c r="G195" s="256"/>
      <c r="H195" s="256"/>
      <c r="I195" s="256"/>
      <c r="J195" s="256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  <c r="AA195" s="256"/>
    </row>
    <row r="196">
      <c r="A196" s="256"/>
      <c r="B196" s="255"/>
      <c r="C196" s="256"/>
      <c r="D196" s="256"/>
      <c r="E196" s="256"/>
      <c r="F196" s="256"/>
      <c r="G196" s="256"/>
      <c r="H196" s="256"/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  <c r="AA196" s="256"/>
    </row>
    <row r="197">
      <c r="A197" s="256"/>
      <c r="B197" s="255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  <c r="AA197" s="256"/>
    </row>
    <row r="198">
      <c r="A198" s="256"/>
      <c r="B198" s="255"/>
      <c r="C198" s="256"/>
      <c r="D198" s="256"/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  <c r="AA198" s="256"/>
    </row>
    <row r="199">
      <c r="A199" s="256"/>
      <c r="B199" s="255"/>
      <c r="C199" s="256"/>
      <c r="D199" s="256"/>
      <c r="E199" s="256"/>
      <c r="F199" s="256"/>
      <c r="G199" s="256"/>
      <c r="H199" s="256"/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  <c r="AA199" s="256"/>
    </row>
    <row r="200">
      <c r="A200" s="256"/>
      <c r="B200" s="255"/>
      <c r="C200" s="256"/>
      <c r="D200" s="256"/>
      <c r="E200" s="256"/>
      <c r="F200" s="256"/>
      <c r="G200" s="256"/>
      <c r="H200" s="256"/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  <c r="AA200" s="256"/>
    </row>
    <row r="201">
      <c r="A201" s="256"/>
      <c r="B201" s="255"/>
      <c r="C201" s="256"/>
      <c r="D201" s="256"/>
      <c r="E201" s="256"/>
      <c r="F201" s="256"/>
      <c r="G201" s="256"/>
      <c r="H201" s="256"/>
      <c r="I201" s="256"/>
      <c r="J201" s="256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  <c r="AA201" s="256"/>
    </row>
    <row r="202">
      <c r="A202" s="256"/>
      <c r="B202" s="255"/>
      <c r="C202" s="256"/>
      <c r="D202" s="256"/>
      <c r="E202" s="256"/>
      <c r="F202" s="256"/>
      <c r="G202" s="256"/>
      <c r="H202" s="256"/>
      <c r="I202" s="256"/>
      <c r="J202" s="256"/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  <c r="AA202" s="256"/>
    </row>
    <row r="203">
      <c r="A203" s="256"/>
      <c r="B203" s="255"/>
      <c r="C203" s="256"/>
      <c r="D203" s="256"/>
      <c r="E203" s="256"/>
      <c r="F203" s="256"/>
      <c r="G203" s="256"/>
      <c r="H203" s="256"/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  <c r="AA203" s="256"/>
    </row>
    <row r="204">
      <c r="A204" s="256"/>
      <c r="B204" s="255"/>
      <c r="C204" s="256"/>
      <c r="D204" s="256"/>
      <c r="E204" s="256"/>
      <c r="F204" s="256"/>
      <c r="G204" s="256"/>
      <c r="H204" s="256"/>
      <c r="I204" s="256"/>
      <c r="J204" s="256"/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  <c r="AA204" s="256"/>
    </row>
    <row r="205">
      <c r="A205" s="256"/>
      <c r="B205" s="255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  <c r="AA205" s="256"/>
    </row>
    <row r="206">
      <c r="A206" s="256"/>
      <c r="B206" s="255"/>
      <c r="C206" s="256"/>
      <c r="D206" s="256"/>
      <c r="E206" s="256"/>
      <c r="F206" s="256"/>
      <c r="G206" s="256"/>
      <c r="H206" s="256"/>
      <c r="I206" s="256"/>
      <c r="J206" s="256"/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  <c r="AA206" s="256"/>
    </row>
    <row r="207">
      <c r="A207" s="256"/>
      <c r="B207" s="255"/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  <c r="AA207" s="256"/>
    </row>
    <row r="208">
      <c r="A208" s="256"/>
      <c r="B208" s="255"/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  <c r="AA208" s="256"/>
    </row>
    <row r="209">
      <c r="A209" s="256"/>
      <c r="B209" s="255"/>
      <c r="C209" s="256"/>
      <c r="D209" s="256"/>
      <c r="E209" s="256"/>
      <c r="F209" s="256"/>
      <c r="G209" s="256"/>
      <c r="H209" s="256"/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  <c r="AA209" s="256"/>
    </row>
    <row r="210">
      <c r="A210" s="256"/>
      <c r="B210" s="255"/>
      <c r="C210" s="256"/>
      <c r="D210" s="256"/>
      <c r="E210" s="256"/>
      <c r="F210" s="256"/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  <c r="AA210" s="256"/>
    </row>
    <row r="211">
      <c r="A211" s="256"/>
      <c r="B211" s="255"/>
      <c r="C211" s="256"/>
      <c r="D211" s="256"/>
      <c r="E211" s="256"/>
      <c r="F211" s="256"/>
      <c r="G211" s="256"/>
      <c r="H211" s="256"/>
      <c r="I211" s="256"/>
      <c r="J211" s="256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  <c r="AA211" s="256"/>
    </row>
    <row r="212">
      <c r="A212" s="256"/>
      <c r="B212" s="255"/>
      <c r="C212" s="256"/>
      <c r="D212" s="256"/>
      <c r="E212" s="256"/>
      <c r="F212" s="256"/>
      <c r="G212" s="256"/>
      <c r="H212" s="256"/>
      <c r="I212" s="256"/>
      <c r="J212" s="256"/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  <c r="AA212" s="256"/>
    </row>
    <row r="213">
      <c r="A213" s="256"/>
      <c r="B213" s="255"/>
      <c r="C213" s="256"/>
      <c r="D213" s="256"/>
      <c r="E213" s="256"/>
      <c r="F213" s="256"/>
      <c r="G213" s="256"/>
      <c r="H213" s="256"/>
      <c r="I213" s="256"/>
      <c r="J213" s="256"/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  <c r="AA213" s="256"/>
    </row>
    <row r="214">
      <c r="A214" s="256"/>
      <c r="B214" s="255"/>
      <c r="C214" s="256"/>
      <c r="D214" s="256"/>
      <c r="E214" s="256"/>
      <c r="F214" s="256"/>
      <c r="G214" s="256"/>
      <c r="H214" s="256"/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  <c r="AA214" s="256"/>
    </row>
    <row r="215">
      <c r="A215" s="256"/>
      <c r="B215" s="255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  <c r="AA215" s="256"/>
    </row>
    <row r="216">
      <c r="A216" s="256"/>
      <c r="B216" s="255"/>
      <c r="C216" s="256"/>
      <c r="D216" s="256"/>
      <c r="E216" s="256"/>
      <c r="F216" s="256"/>
      <c r="G216" s="256"/>
      <c r="H216" s="256"/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  <c r="AA216" s="256"/>
    </row>
    <row r="217">
      <c r="A217" s="256"/>
      <c r="B217" s="255"/>
      <c r="C217" s="256"/>
      <c r="D217" s="256"/>
      <c r="E217" s="256"/>
      <c r="F217" s="256"/>
      <c r="G217" s="256"/>
      <c r="H217" s="256"/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  <c r="AA217" s="256"/>
    </row>
    <row r="218">
      <c r="A218" s="256"/>
      <c r="B218" s="255"/>
      <c r="C218" s="256"/>
      <c r="D218" s="256"/>
      <c r="E218" s="256"/>
      <c r="F218" s="256"/>
      <c r="G218" s="256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  <c r="AA218" s="256"/>
    </row>
    <row r="219">
      <c r="A219" s="256"/>
      <c r="B219" s="255"/>
      <c r="C219" s="256"/>
      <c r="D219" s="256"/>
      <c r="E219" s="256"/>
      <c r="F219" s="256"/>
      <c r="G219" s="256"/>
      <c r="H219" s="256"/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  <c r="AA219" s="256"/>
    </row>
    <row r="220">
      <c r="A220" s="256"/>
      <c r="B220" s="255"/>
      <c r="C220" s="256"/>
      <c r="D220" s="256"/>
      <c r="E220" s="256"/>
      <c r="F220" s="256"/>
      <c r="G220" s="256"/>
      <c r="H220" s="256"/>
      <c r="I220" s="256"/>
      <c r="J220" s="256"/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  <c r="AA220" s="256"/>
    </row>
    <row r="221">
      <c r="A221" s="256"/>
      <c r="B221" s="255"/>
      <c r="C221" s="256"/>
      <c r="D221" s="256"/>
      <c r="E221" s="256"/>
      <c r="F221" s="256"/>
      <c r="G221" s="256"/>
      <c r="H221" s="256"/>
      <c r="I221" s="256"/>
      <c r="J221" s="256"/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  <c r="AA221" s="256"/>
    </row>
    <row r="222">
      <c r="A222" s="256"/>
      <c r="B222" s="255"/>
      <c r="C222" s="256"/>
      <c r="D222" s="256"/>
      <c r="E222" s="256"/>
      <c r="F222" s="256"/>
      <c r="G222" s="256"/>
      <c r="H222" s="256"/>
      <c r="I222" s="256"/>
      <c r="J222" s="256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  <c r="AA222" s="256"/>
    </row>
    <row r="223">
      <c r="A223" s="256"/>
      <c r="B223" s="255"/>
      <c r="C223" s="256"/>
      <c r="D223" s="256"/>
      <c r="E223" s="256"/>
      <c r="F223" s="256"/>
      <c r="G223" s="256"/>
      <c r="H223" s="256"/>
      <c r="I223" s="256"/>
      <c r="J223" s="256"/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  <c r="AA223" s="256"/>
    </row>
    <row r="224">
      <c r="A224" s="256"/>
      <c r="B224" s="255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  <c r="AA224" s="256"/>
    </row>
    <row r="225">
      <c r="A225" s="256"/>
      <c r="B225" s="255"/>
      <c r="C225" s="256"/>
      <c r="D225" s="256"/>
      <c r="E225" s="256"/>
      <c r="F225" s="256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  <c r="AA225" s="256"/>
    </row>
    <row r="226">
      <c r="A226" s="256"/>
      <c r="B226" s="255"/>
      <c r="C226" s="256"/>
      <c r="D226" s="256"/>
      <c r="E226" s="256"/>
      <c r="F226" s="256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  <c r="AA226" s="256"/>
    </row>
    <row r="227">
      <c r="A227" s="256"/>
      <c r="B227" s="255"/>
      <c r="C227" s="256"/>
      <c r="D227" s="256"/>
      <c r="E227" s="256"/>
      <c r="F227" s="256"/>
      <c r="G227" s="256"/>
      <c r="H227" s="256"/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  <c r="AA227" s="256"/>
    </row>
    <row r="228">
      <c r="A228" s="256"/>
      <c r="B228" s="255"/>
      <c r="C228" s="256"/>
      <c r="D228" s="256"/>
      <c r="E228" s="256"/>
      <c r="F228" s="256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  <c r="AA228" s="256"/>
    </row>
    <row r="229">
      <c r="A229" s="256"/>
      <c r="B229" s="255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  <c r="AA229" s="256"/>
    </row>
    <row r="230">
      <c r="A230" s="256"/>
      <c r="B230" s="255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  <c r="AA230" s="256"/>
    </row>
    <row r="231">
      <c r="A231" s="256"/>
      <c r="B231" s="255"/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  <c r="AA231" s="256"/>
    </row>
    <row r="232">
      <c r="A232" s="256"/>
      <c r="B232" s="255"/>
      <c r="C232" s="256"/>
      <c r="D232" s="256"/>
      <c r="E232" s="256"/>
      <c r="F232" s="256"/>
      <c r="G232" s="256"/>
      <c r="H232" s="256"/>
      <c r="I232" s="256"/>
      <c r="J232" s="256"/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  <c r="AA232" s="256"/>
    </row>
    <row r="233">
      <c r="A233" s="256"/>
      <c r="B233" s="255"/>
      <c r="C233" s="256"/>
      <c r="D233" s="256"/>
      <c r="E233" s="256"/>
      <c r="F233" s="256"/>
      <c r="G233" s="256"/>
      <c r="H233" s="256"/>
      <c r="I233" s="256"/>
      <c r="J233" s="256"/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  <c r="AA233" s="256"/>
    </row>
    <row r="234">
      <c r="A234" s="256"/>
      <c r="B234" s="255"/>
      <c r="C234" s="256"/>
      <c r="D234" s="256"/>
      <c r="E234" s="256"/>
      <c r="F234" s="256"/>
      <c r="G234" s="256"/>
      <c r="H234" s="256"/>
      <c r="I234" s="256"/>
      <c r="J234" s="256"/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  <c r="AA234" s="256"/>
    </row>
    <row r="235">
      <c r="A235" s="256"/>
      <c r="B235" s="255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  <c r="AA235" s="256"/>
    </row>
    <row r="236">
      <c r="A236" s="256"/>
      <c r="B236" s="255"/>
      <c r="C236" s="256"/>
      <c r="D236" s="256"/>
      <c r="E236" s="256"/>
      <c r="F236" s="256"/>
      <c r="G236" s="256"/>
      <c r="H236" s="256"/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  <c r="AA236" s="256"/>
    </row>
    <row r="237">
      <c r="A237" s="256"/>
      <c r="B237" s="255"/>
      <c r="C237" s="256"/>
      <c r="D237" s="256"/>
      <c r="E237" s="256"/>
      <c r="F237" s="256"/>
      <c r="G237" s="256"/>
      <c r="H237" s="256"/>
      <c r="I237" s="256"/>
      <c r="J237" s="256"/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  <c r="AA237" s="256"/>
    </row>
    <row r="238">
      <c r="A238" s="256"/>
      <c r="B238" s="255"/>
      <c r="C238" s="256"/>
      <c r="D238" s="256"/>
      <c r="E238" s="256"/>
      <c r="F238" s="256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  <c r="AA238" s="256"/>
    </row>
    <row r="239">
      <c r="A239" s="256"/>
      <c r="B239" s="255"/>
      <c r="C239" s="256"/>
      <c r="D239" s="256"/>
      <c r="E239" s="256"/>
      <c r="F239" s="256"/>
      <c r="G239" s="256"/>
      <c r="H239" s="256"/>
      <c r="I239" s="256"/>
      <c r="J239" s="256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  <c r="AA239" s="256"/>
    </row>
    <row r="240">
      <c r="A240" s="256"/>
      <c r="B240" s="255"/>
      <c r="C240" s="256"/>
      <c r="D240" s="256"/>
      <c r="E240" s="256"/>
      <c r="F240" s="256"/>
      <c r="G240" s="256"/>
      <c r="H240" s="256"/>
      <c r="I240" s="256"/>
      <c r="J240" s="256"/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  <c r="AA240" s="256"/>
    </row>
    <row r="241">
      <c r="A241" s="256"/>
      <c r="B241" s="255"/>
      <c r="C241" s="256"/>
      <c r="D241" s="256"/>
      <c r="E241" s="256"/>
      <c r="F241" s="256"/>
      <c r="G241" s="256"/>
      <c r="H241" s="256"/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  <c r="AA241" s="256"/>
    </row>
    <row r="242">
      <c r="A242" s="256"/>
      <c r="B242" s="255"/>
      <c r="C242" s="256"/>
      <c r="D242" s="256"/>
      <c r="E242" s="256"/>
      <c r="F242" s="256"/>
      <c r="G242" s="256"/>
      <c r="H242" s="256"/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  <c r="AA242" s="256"/>
    </row>
    <row r="243">
      <c r="A243" s="256"/>
      <c r="B243" s="255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  <c r="AA243" s="256"/>
    </row>
    <row r="244">
      <c r="A244" s="256"/>
      <c r="B244" s="255"/>
      <c r="C244" s="256"/>
      <c r="D244" s="256"/>
      <c r="E244" s="256"/>
      <c r="F244" s="256"/>
      <c r="G244" s="256"/>
      <c r="H244" s="256"/>
      <c r="I244" s="256"/>
      <c r="J244" s="256"/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  <c r="AA244" s="256"/>
    </row>
    <row r="245">
      <c r="A245" s="256"/>
      <c r="B245" s="255"/>
      <c r="C245" s="256"/>
      <c r="D245" s="256"/>
      <c r="E245" s="256"/>
      <c r="F245" s="256"/>
      <c r="G245" s="256"/>
      <c r="H245" s="256"/>
      <c r="I245" s="256"/>
      <c r="J245" s="256"/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  <c r="AA245" s="256"/>
    </row>
    <row r="246">
      <c r="A246" s="256"/>
      <c r="B246" s="255"/>
      <c r="C246" s="256"/>
      <c r="D246" s="256"/>
      <c r="E246" s="256"/>
      <c r="F246" s="256"/>
      <c r="G246" s="256"/>
      <c r="H246" s="256"/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  <c r="AA246" s="256"/>
    </row>
    <row r="247">
      <c r="A247" s="256"/>
      <c r="B247" s="255"/>
      <c r="C247" s="256"/>
      <c r="D247" s="256"/>
      <c r="E247" s="256"/>
      <c r="F247" s="256"/>
      <c r="G247" s="256"/>
      <c r="H247" s="256"/>
      <c r="I247" s="256"/>
      <c r="J247" s="256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  <c r="AA247" s="256"/>
    </row>
    <row r="248">
      <c r="A248" s="256"/>
      <c r="B248" s="255"/>
      <c r="C248" s="256"/>
      <c r="D248" s="256"/>
      <c r="E248" s="256"/>
      <c r="F248" s="256"/>
      <c r="G248" s="256"/>
      <c r="H248" s="256"/>
      <c r="I248" s="256"/>
      <c r="J248" s="256"/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  <c r="AA248" s="256"/>
    </row>
    <row r="249">
      <c r="A249" s="256"/>
      <c r="B249" s="255"/>
      <c r="C249" s="256"/>
      <c r="D249" s="256"/>
      <c r="E249" s="256"/>
      <c r="F249" s="256"/>
      <c r="G249" s="256"/>
      <c r="H249" s="256"/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  <c r="AA249" s="256"/>
    </row>
    <row r="250">
      <c r="A250" s="256"/>
      <c r="B250" s="255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  <c r="AA250" s="256"/>
    </row>
    <row r="251">
      <c r="A251" s="256"/>
      <c r="B251" s="255"/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  <c r="AA251" s="256"/>
    </row>
    <row r="252">
      <c r="A252" s="256"/>
      <c r="B252" s="255"/>
      <c r="C252" s="256"/>
      <c r="D252" s="256"/>
      <c r="E252" s="256"/>
      <c r="F252" s="256"/>
      <c r="G252" s="256"/>
      <c r="H252" s="256"/>
      <c r="I252" s="256"/>
      <c r="J252" s="256"/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  <c r="AA252" s="256"/>
    </row>
    <row r="253">
      <c r="A253" s="256"/>
      <c r="B253" s="255"/>
      <c r="C253" s="256"/>
      <c r="D253" s="256"/>
      <c r="E253" s="256"/>
      <c r="F253" s="256"/>
      <c r="G253" s="256"/>
      <c r="H253" s="256"/>
      <c r="I253" s="256"/>
      <c r="J253" s="256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  <c r="AA253" s="256"/>
    </row>
    <row r="254">
      <c r="A254" s="256"/>
      <c r="B254" s="255"/>
      <c r="C254" s="256"/>
      <c r="D254" s="256"/>
      <c r="E254" s="256"/>
      <c r="F254" s="256"/>
      <c r="G254" s="256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  <c r="AA254" s="256"/>
    </row>
    <row r="255">
      <c r="A255" s="256"/>
      <c r="B255" s="255"/>
      <c r="C255" s="256"/>
      <c r="D255" s="256"/>
      <c r="E255" s="256"/>
      <c r="F255" s="256"/>
      <c r="G255" s="256"/>
      <c r="H255" s="256"/>
      <c r="I255" s="256"/>
      <c r="J255" s="256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  <c r="AA255" s="256"/>
    </row>
    <row r="256">
      <c r="A256" s="256"/>
      <c r="B256" s="255"/>
      <c r="C256" s="256"/>
      <c r="D256" s="256"/>
      <c r="E256" s="256"/>
      <c r="F256" s="256"/>
      <c r="G256" s="256"/>
      <c r="H256" s="256"/>
      <c r="I256" s="256"/>
      <c r="J256" s="256"/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  <c r="AA256" s="256"/>
    </row>
    <row r="257">
      <c r="A257" s="256"/>
      <c r="B257" s="255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  <c r="AA257" s="256"/>
    </row>
    <row r="258">
      <c r="A258" s="256"/>
      <c r="B258" s="255"/>
      <c r="C258" s="256"/>
      <c r="D258" s="256"/>
      <c r="E258" s="256"/>
      <c r="F258" s="256"/>
      <c r="G258" s="256"/>
      <c r="H258" s="256"/>
      <c r="I258" s="256"/>
      <c r="J258" s="256"/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  <c r="AA258" s="256"/>
    </row>
    <row r="259">
      <c r="A259" s="256"/>
      <c r="B259" s="255"/>
      <c r="C259" s="256"/>
      <c r="D259" s="256"/>
      <c r="E259" s="256"/>
      <c r="F259" s="256"/>
      <c r="G259" s="256"/>
      <c r="H259" s="256"/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  <c r="AA259" s="256"/>
    </row>
    <row r="260">
      <c r="A260" s="256"/>
      <c r="B260" s="255"/>
      <c r="C260" s="256"/>
      <c r="D260" s="256"/>
      <c r="E260" s="256"/>
      <c r="F260" s="256"/>
      <c r="G260" s="256"/>
      <c r="H260" s="256"/>
      <c r="I260" s="256"/>
      <c r="J260" s="256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  <c r="AA260" s="256"/>
    </row>
    <row r="261">
      <c r="A261" s="256"/>
      <c r="B261" s="255"/>
      <c r="C261" s="256"/>
      <c r="D261" s="256"/>
      <c r="E261" s="256"/>
      <c r="F261" s="256"/>
      <c r="G261" s="256"/>
      <c r="H261" s="256"/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  <c r="AA261" s="256"/>
    </row>
    <row r="262">
      <c r="A262" s="256"/>
      <c r="B262" s="255"/>
      <c r="C262" s="256"/>
      <c r="D262" s="256"/>
      <c r="E262" s="256"/>
      <c r="F262" s="256"/>
      <c r="G262" s="256"/>
      <c r="H262" s="256"/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  <c r="AA262" s="256"/>
    </row>
    <row r="263">
      <c r="A263" s="256"/>
      <c r="B263" s="255"/>
      <c r="C263" s="256"/>
      <c r="D263" s="256"/>
      <c r="E263" s="256"/>
      <c r="F263" s="256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  <c r="AA263" s="256"/>
    </row>
    <row r="264">
      <c r="A264" s="256"/>
      <c r="B264" s="255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  <c r="AA264" s="256"/>
    </row>
    <row r="265">
      <c r="A265" s="256"/>
      <c r="B265" s="255"/>
      <c r="C265" s="256"/>
      <c r="D265" s="256"/>
      <c r="E265" s="256"/>
      <c r="F265" s="256"/>
      <c r="G265" s="256"/>
      <c r="H265" s="256"/>
      <c r="I265" s="256"/>
      <c r="J265" s="256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  <c r="AA265" s="256"/>
    </row>
    <row r="266">
      <c r="A266" s="256"/>
      <c r="B266" s="255"/>
      <c r="C266" s="256"/>
      <c r="D266" s="256"/>
      <c r="E266" s="256"/>
      <c r="F266" s="256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  <c r="AA266" s="256"/>
    </row>
    <row r="267">
      <c r="A267" s="256"/>
      <c r="B267" s="255"/>
      <c r="C267" s="256"/>
      <c r="D267" s="256"/>
      <c r="E267" s="256"/>
      <c r="F267" s="256"/>
      <c r="G267" s="256"/>
      <c r="H267" s="256"/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  <c r="AA267" s="256"/>
    </row>
    <row r="268">
      <c r="A268" s="256"/>
      <c r="B268" s="255"/>
      <c r="C268" s="256"/>
      <c r="D268" s="256"/>
      <c r="E268" s="256"/>
      <c r="F268" s="256"/>
      <c r="G268" s="256"/>
      <c r="H268" s="256"/>
      <c r="I268" s="256"/>
      <c r="J268" s="256"/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  <c r="AA268" s="256"/>
    </row>
    <row r="269">
      <c r="A269" s="256"/>
      <c r="B269" s="255"/>
      <c r="C269" s="256"/>
      <c r="D269" s="256"/>
      <c r="E269" s="256"/>
      <c r="F269" s="256"/>
      <c r="G269" s="256"/>
      <c r="H269" s="256"/>
      <c r="I269" s="256"/>
      <c r="J269" s="256"/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  <c r="AA269" s="256"/>
    </row>
    <row r="270">
      <c r="A270" s="256"/>
      <c r="B270" s="255"/>
      <c r="C270" s="256"/>
      <c r="D270" s="256"/>
      <c r="E270" s="256"/>
      <c r="F270" s="256"/>
      <c r="G270" s="256"/>
      <c r="H270" s="256"/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  <c r="AA270" s="256"/>
    </row>
    <row r="271">
      <c r="A271" s="256"/>
      <c r="B271" s="255"/>
      <c r="C271" s="256"/>
      <c r="D271" s="256"/>
      <c r="E271" s="256"/>
      <c r="F271" s="256"/>
      <c r="G271" s="256"/>
      <c r="H271" s="256"/>
      <c r="I271" s="256"/>
      <c r="J271" s="256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  <c r="AA271" s="256"/>
    </row>
    <row r="272">
      <c r="A272" s="256"/>
      <c r="B272" s="255"/>
      <c r="C272" s="256"/>
      <c r="D272" s="256"/>
      <c r="E272" s="256"/>
      <c r="F272" s="256"/>
      <c r="G272" s="256"/>
      <c r="H272" s="256"/>
      <c r="I272" s="256"/>
      <c r="J272" s="256"/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  <c r="AA272" s="256"/>
    </row>
    <row r="273">
      <c r="A273" s="256"/>
      <c r="B273" s="255"/>
      <c r="C273" s="256"/>
      <c r="D273" s="256"/>
      <c r="E273" s="256"/>
      <c r="F273" s="256"/>
      <c r="G273" s="256"/>
      <c r="H273" s="256"/>
      <c r="I273" s="256"/>
      <c r="J273" s="256"/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  <c r="AA273" s="256"/>
    </row>
    <row r="274">
      <c r="A274" s="256"/>
      <c r="B274" s="255"/>
      <c r="C274" s="256"/>
      <c r="D274" s="256"/>
      <c r="E274" s="256"/>
      <c r="F274" s="256"/>
      <c r="G274" s="256"/>
      <c r="H274" s="256"/>
      <c r="I274" s="256"/>
      <c r="J274" s="256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  <c r="AA274" s="256"/>
    </row>
    <row r="275">
      <c r="A275" s="256"/>
      <c r="B275" s="255"/>
      <c r="C275" s="256"/>
      <c r="D275" s="256"/>
      <c r="E275" s="256"/>
      <c r="F275" s="256"/>
      <c r="G275" s="256"/>
      <c r="H275" s="256"/>
      <c r="I275" s="256"/>
      <c r="J275" s="256"/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  <c r="AA275" s="256"/>
    </row>
    <row r="276">
      <c r="A276" s="256"/>
      <c r="B276" s="255"/>
      <c r="C276" s="256"/>
      <c r="D276" s="256"/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  <c r="AA276" s="256"/>
    </row>
    <row r="277">
      <c r="A277" s="256"/>
      <c r="B277" s="255"/>
      <c r="C277" s="256"/>
      <c r="D277" s="256"/>
      <c r="E277" s="256"/>
      <c r="F277" s="256"/>
      <c r="G277" s="256"/>
      <c r="H277" s="256"/>
      <c r="I277" s="256"/>
      <c r="J277" s="256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  <c r="AA277" s="256"/>
    </row>
    <row r="278">
      <c r="A278" s="256"/>
      <c r="B278" s="255"/>
      <c r="C278" s="256"/>
      <c r="D278" s="256"/>
      <c r="E278" s="256"/>
      <c r="F278" s="256"/>
      <c r="G278" s="256"/>
      <c r="H278" s="256"/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  <c r="AA278" s="256"/>
    </row>
    <row r="279">
      <c r="A279" s="256"/>
      <c r="B279" s="255"/>
      <c r="C279" s="256"/>
      <c r="D279" s="256"/>
      <c r="E279" s="256"/>
      <c r="F279" s="256"/>
      <c r="G279" s="256"/>
      <c r="H279" s="256"/>
      <c r="I279" s="256"/>
      <c r="J279" s="256"/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  <c r="AA279" s="256"/>
    </row>
    <row r="280">
      <c r="A280" s="256"/>
      <c r="B280" s="255"/>
      <c r="C280" s="256"/>
      <c r="D280" s="256"/>
      <c r="E280" s="256"/>
      <c r="F280" s="256"/>
      <c r="G280" s="256"/>
      <c r="H280" s="256"/>
      <c r="I280" s="256"/>
      <c r="J280" s="256"/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  <c r="AA280" s="256"/>
    </row>
    <row r="281">
      <c r="A281" s="256"/>
      <c r="B281" s="255"/>
      <c r="C281" s="256"/>
      <c r="D281" s="256"/>
      <c r="E281" s="256"/>
      <c r="F281" s="256"/>
      <c r="G281" s="256"/>
      <c r="H281" s="256"/>
      <c r="I281" s="256"/>
      <c r="J281" s="256"/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  <c r="AA281" s="256"/>
    </row>
    <row r="282">
      <c r="A282" s="256"/>
      <c r="B282" s="255"/>
      <c r="C282" s="256"/>
      <c r="D282" s="256"/>
      <c r="E282" s="256"/>
      <c r="F282" s="256"/>
      <c r="G282" s="256"/>
      <c r="H282" s="256"/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  <c r="AA282" s="256"/>
    </row>
    <row r="283">
      <c r="A283" s="256"/>
      <c r="B283" s="255"/>
      <c r="C283" s="256"/>
      <c r="D283" s="256"/>
      <c r="E283" s="256"/>
      <c r="F283" s="256"/>
      <c r="G283" s="256"/>
      <c r="H283" s="256"/>
      <c r="I283" s="256"/>
      <c r="J283" s="256"/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  <c r="AA283" s="256"/>
    </row>
    <row r="284">
      <c r="A284" s="256"/>
      <c r="B284" s="255"/>
      <c r="C284" s="256"/>
      <c r="D284" s="256"/>
      <c r="E284" s="256"/>
      <c r="F284" s="256"/>
      <c r="G284" s="256"/>
      <c r="H284" s="256"/>
      <c r="I284" s="256"/>
      <c r="J284" s="256"/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  <c r="AA284" s="256"/>
    </row>
    <row r="285">
      <c r="A285" s="256"/>
      <c r="B285" s="255"/>
      <c r="C285" s="256"/>
      <c r="D285" s="256"/>
      <c r="E285" s="256"/>
      <c r="F285" s="256"/>
      <c r="G285" s="256"/>
      <c r="H285" s="256"/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  <c r="AA285" s="256"/>
    </row>
    <row r="286">
      <c r="A286" s="256"/>
      <c r="B286" s="255"/>
      <c r="C286" s="256"/>
      <c r="D286" s="256"/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  <c r="AA286" s="256"/>
    </row>
    <row r="287">
      <c r="A287" s="256"/>
      <c r="B287" s="255"/>
      <c r="C287" s="256"/>
      <c r="D287" s="256"/>
      <c r="E287" s="256"/>
      <c r="F287" s="256"/>
      <c r="G287" s="256"/>
      <c r="H287" s="256"/>
      <c r="I287" s="256"/>
      <c r="J287" s="256"/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  <c r="AA287" s="256"/>
    </row>
    <row r="288">
      <c r="A288" s="256"/>
      <c r="B288" s="255"/>
      <c r="C288" s="256"/>
      <c r="D288" s="256"/>
      <c r="E288" s="256"/>
      <c r="F288" s="256"/>
      <c r="G288" s="256"/>
      <c r="H288" s="256"/>
      <c r="I288" s="256"/>
      <c r="J288" s="256"/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  <c r="AA288" s="256"/>
    </row>
    <row r="289">
      <c r="A289" s="256"/>
      <c r="B289" s="255"/>
      <c r="C289" s="256"/>
      <c r="D289" s="256"/>
      <c r="E289" s="256"/>
      <c r="F289" s="256"/>
      <c r="G289" s="256"/>
      <c r="H289" s="256"/>
      <c r="I289" s="256"/>
      <c r="J289" s="256"/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  <c r="AA289" s="256"/>
    </row>
    <row r="290">
      <c r="A290" s="256"/>
      <c r="B290" s="255"/>
      <c r="C290" s="256"/>
      <c r="D290" s="256"/>
      <c r="E290" s="256"/>
      <c r="F290" s="256"/>
      <c r="G290" s="256"/>
      <c r="H290" s="256"/>
      <c r="I290" s="256"/>
      <c r="J290" s="256"/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  <c r="AA290" s="256"/>
    </row>
    <row r="291">
      <c r="A291" s="256"/>
      <c r="B291" s="255"/>
      <c r="C291" s="256"/>
      <c r="D291" s="256"/>
      <c r="E291" s="256"/>
      <c r="F291" s="256"/>
      <c r="G291" s="256"/>
      <c r="H291" s="256"/>
      <c r="I291" s="256"/>
      <c r="J291" s="256"/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  <c r="AA291" s="256"/>
    </row>
    <row r="292">
      <c r="A292" s="256"/>
      <c r="B292" s="255"/>
      <c r="C292" s="256"/>
      <c r="D292" s="256"/>
      <c r="E292" s="256"/>
      <c r="F292" s="256"/>
      <c r="G292" s="256"/>
      <c r="H292" s="256"/>
      <c r="I292" s="256"/>
      <c r="J292" s="256"/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  <c r="AA292" s="256"/>
    </row>
    <row r="293">
      <c r="A293" s="256"/>
      <c r="B293" s="255"/>
      <c r="C293" s="256"/>
      <c r="D293" s="256"/>
      <c r="E293" s="256"/>
      <c r="F293" s="256"/>
      <c r="G293" s="256"/>
      <c r="H293" s="256"/>
      <c r="I293" s="256"/>
      <c r="J293" s="256"/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  <c r="AA293" s="256"/>
    </row>
    <row r="294">
      <c r="A294" s="256"/>
      <c r="B294" s="255"/>
      <c r="C294" s="256"/>
      <c r="D294" s="256"/>
      <c r="E294" s="256"/>
      <c r="F294" s="256"/>
      <c r="G294" s="256"/>
      <c r="H294" s="256"/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  <c r="AA294" s="256"/>
    </row>
    <row r="295">
      <c r="A295" s="256"/>
      <c r="B295" s="255"/>
      <c r="C295" s="256"/>
      <c r="D295" s="256"/>
      <c r="E295" s="256"/>
      <c r="F295" s="256"/>
      <c r="G295" s="256"/>
      <c r="H295" s="256"/>
      <c r="I295" s="256"/>
      <c r="J295" s="256"/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  <c r="AA295" s="256"/>
    </row>
    <row r="296">
      <c r="A296" s="256"/>
      <c r="B296" s="255"/>
      <c r="C296" s="256"/>
      <c r="D296" s="256"/>
      <c r="E296" s="256"/>
      <c r="F296" s="256"/>
      <c r="G296" s="256"/>
      <c r="H296" s="256"/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  <c r="AA296" s="256"/>
    </row>
    <row r="297">
      <c r="A297" s="256"/>
      <c r="B297" s="255"/>
      <c r="C297" s="256"/>
      <c r="D297" s="256"/>
      <c r="E297" s="256"/>
      <c r="F297" s="256"/>
      <c r="G297" s="256"/>
      <c r="H297" s="256"/>
      <c r="I297" s="256"/>
      <c r="J297" s="256"/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  <c r="AA297" s="256"/>
    </row>
    <row r="298">
      <c r="A298" s="256"/>
      <c r="B298" s="255"/>
      <c r="C298" s="256"/>
      <c r="D298" s="256"/>
      <c r="E298" s="256"/>
      <c r="F298" s="256"/>
      <c r="G298" s="256"/>
      <c r="H298" s="256"/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  <c r="AA298" s="256"/>
    </row>
    <row r="299">
      <c r="A299" s="256"/>
      <c r="B299" s="255"/>
      <c r="C299" s="256"/>
      <c r="D299" s="256"/>
      <c r="E299" s="256"/>
      <c r="F299" s="256"/>
      <c r="G299" s="256"/>
      <c r="H299" s="256"/>
      <c r="I299" s="256"/>
      <c r="J299" s="256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  <c r="AA299" s="256"/>
    </row>
    <row r="300">
      <c r="A300" s="256"/>
      <c r="B300" s="255"/>
      <c r="C300" s="256"/>
      <c r="D300" s="256"/>
      <c r="E300" s="256"/>
      <c r="F300" s="256"/>
      <c r="G300" s="256"/>
      <c r="H300" s="256"/>
      <c r="I300" s="256"/>
      <c r="J300" s="256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  <c r="AA300" s="256"/>
    </row>
    <row r="301">
      <c r="A301" s="256"/>
      <c r="B301" s="255"/>
      <c r="C301" s="256"/>
      <c r="D301" s="256"/>
      <c r="E301" s="256"/>
      <c r="F301" s="256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  <c r="AA301" s="256"/>
    </row>
    <row r="302">
      <c r="A302" s="256"/>
      <c r="B302" s="255"/>
      <c r="C302" s="256"/>
      <c r="D302" s="256"/>
      <c r="E302" s="256"/>
      <c r="F302" s="256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  <c r="AA302" s="256"/>
    </row>
    <row r="303">
      <c r="A303" s="256"/>
      <c r="B303" s="255"/>
      <c r="C303" s="256"/>
      <c r="D303" s="256"/>
      <c r="E303" s="256"/>
      <c r="F303" s="256"/>
      <c r="G303" s="256"/>
      <c r="H303" s="256"/>
      <c r="I303" s="256"/>
      <c r="J303" s="256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  <c r="AA303" s="256"/>
    </row>
    <row r="304">
      <c r="A304" s="256"/>
      <c r="B304" s="255"/>
      <c r="C304" s="256"/>
      <c r="D304" s="256"/>
      <c r="E304" s="256"/>
      <c r="F304" s="256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  <c r="AA304" s="256"/>
    </row>
    <row r="305">
      <c r="A305" s="256"/>
      <c r="B305" s="255"/>
      <c r="C305" s="256"/>
      <c r="D305" s="256"/>
      <c r="E305" s="256"/>
      <c r="F305" s="256"/>
      <c r="G305" s="256"/>
      <c r="H305" s="256"/>
      <c r="I305" s="256"/>
      <c r="J305" s="256"/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  <c r="AA305" s="256"/>
    </row>
    <row r="306">
      <c r="A306" s="256"/>
      <c r="B306" s="255"/>
      <c r="C306" s="256"/>
      <c r="D306" s="256"/>
      <c r="E306" s="256"/>
      <c r="F306" s="256"/>
      <c r="G306" s="256"/>
      <c r="H306" s="256"/>
      <c r="I306" s="256"/>
      <c r="J306" s="256"/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  <c r="AA306" s="256"/>
    </row>
    <row r="307">
      <c r="A307" s="256"/>
      <c r="B307" s="255"/>
      <c r="C307" s="256"/>
      <c r="D307" s="256"/>
      <c r="E307" s="256"/>
      <c r="F307" s="256"/>
      <c r="G307" s="256"/>
      <c r="H307" s="256"/>
      <c r="I307" s="256"/>
      <c r="J307" s="256"/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  <c r="AA307" s="256"/>
    </row>
    <row r="308">
      <c r="A308" s="256"/>
      <c r="B308" s="255"/>
      <c r="C308" s="256"/>
      <c r="D308" s="256"/>
      <c r="E308" s="256"/>
      <c r="F308" s="256"/>
      <c r="G308" s="256"/>
      <c r="H308" s="256"/>
      <c r="I308" s="256"/>
      <c r="J308" s="256"/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  <c r="AA308" s="256"/>
    </row>
    <row r="309">
      <c r="A309" s="256"/>
      <c r="B309" s="255"/>
      <c r="C309" s="256"/>
      <c r="D309" s="256"/>
      <c r="E309" s="256"/>
      <c r="F309" s="256"/>
      <c r="G309" s="256"/>
      <c r="H309" s="256"/>
      <c r="I309" s="256"/>
      <c r="J309" s="256"/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  <c r="AA309" s="256"/>
    </row>
    <row r="310">
      <c r="A310" s="256"/>
      <c r="B310" s="255"/>
      <c r="C310" s="256"/>
      <c r="D310" s="256"/>
      <c r="E310" s="256"/>
      <c r="F310" s="256"/>
      <c r="G310" s="256"/>
      <c r="H310" s="256"/>
      <c r="I310" s="256"/>
      <c r="J310" s="256"/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  <c r="AA310" s="256"/>
    </row>
    <row r="311">
      <c r="A311" s="256"/>
      <c r="B311" s="255"/>
      <c r="C311" s="256"/>
      <c r="D311" s="256"/>
      <c r="E311" s="256"/>
      <c r="F311" s="256"/>
      <c r="G311" s="256"/>
      <c r="H311" s="256"/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  <c r="AA311" s="256"/>
    </row>
    <row r="312">
      <c r="A312" s="256"/>
      <c r="B312" s="255"/>
      <c r="C312" s="256"/>
      <c r="D312" s="256"/>
      <c r="E312" s="256"/>
      <c r="F312" s="256"/>
      <c r="G312" s="256"/>
      <c r="H312" s="256"/>
      <c r="I312" s="256"/>
      <c r="J312" s="256"/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  <c r="AA312" s="256"/>
    </row>
    <row r="313">
      <c r="A313" s="256"/>
      <c r="B313" s="255"/>
      <c r="C313" s="256"/>
      <c r="D313" s="256"/>
      <c r="E313" s="256"/>
      <c r="F313" s="256"/>
      <c r="G313" s="256"/>
      <c r="H313" s="256"/>
      <c r="I313" s="256"/>
      <c r="J313" s="256"/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  <c r="AA313" s="256"/>
    </row>
    <row r="314">
      <c r="A314" s="256"/>
      <c r="B314" s="255"/>
      <c r="C314" s="256"/>
      <c r="D314" s="256"/>
      <c r="E314" s="256"/>
      <c r="F314" s="256"/>
      <c r="G314" s="256"/>
      <c r="H314" s="256"/>
      <c r="I314" s="256"/>
      <c r="J314" s="256"/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  <c r="AA314" s="256"/>
    </row>
    <row r="315">
      <c r="A315" s="256"/>
      <c r="B315" s="255"/>
      <c r="C315" s="256"/>
      <c r="D315" s="256"/>
      <c r="E315" s="256"/>
      <c r="F315" s="256"/>
      <c r="G315" s="256"/>
      <c r="H315" s="256"/>
      <c r="I315" s="256"/>
      <c r="J315" s="256"/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  <c r="AA315" s="256"/>
    </row>
    <row r="316">
      <c r="A316" s="256"/>
      <c r="B316" s="255"/>
      <c r="C316" s="256"/>
      <c r="D316" s="256"/>
      <c r="E316" s="256"/>
      <c r="F316" s="256"/>
      <c r="G316" s="256"/>
      <c r="H316" s="256"/>
      <c r="I316" s="256"/>
      <c r="J316" s="256"/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  <c r="AA316" s="256"/>
    </row>
    <row r="317">
      <c r="A317" s="256"/>
      <c r="B317" s="255"/>
      <c r="C317" s="256"/>
      <c r="D317" s="256"/>
      <c r="E317" s="256"/>
      <c r="F317" s="256"/>
      <c r="G317" s="256"/>
      <c r="H317" s="256"/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  <c r="AA317" s="256"/>
    </row>
    <row r="318">
      <c r="A318" s="256"/>
      <c r="B318" s="255"/>
      <c r="C318" s="256"/>
      <c r="D318" s="256"/>
      <c r="E318" s="256"/>
      <c r="F318" s="256"/>
      <c r="G318" s="256"/>
      <c r="H318" s="256"/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  <c r="AA318" s="256"/>
    </row>
    <row r="319">
      <c r="A319" s="256"/>
      <c r="B319" s="255"/>
      <c r="C319" s="256"/>
      <c r="D319" s="256"/>
      <c r="E319" s="256"/>
      <c r="F319" s="256"/>
      <c r="G319" s="256"/>
      <c r="H319" s="256"/>
      <c r="I319" s="256"/>
      <c r="J319" s="256"/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  <c r="AA319" s="256"/>
    </row>
    <row r="320">
      <c r="A320" s="256"/>
      <c r="B320" s="255"/>
      <c r="C320" s="256"/>
      <c r="D320" s="256"/>
      <c r="E320" s="256"/>
      <c r="F320" s="256"/>
      <c r="G320" s="256"/>
      <c r="H320" s="256"/>
      <c r="I320" s="256"/>
      <c r="J320" s="256"/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  <c r="AA320" s="256"/>
    </row>
    <row r="321">
      <c r="A321" s="256"/>
      <c r="B321" s="255"/>
      <c r="C321" s="256"/>
      <c r="D321" s="256"/>
      <c r="E321" s="256"/>
      <c r="F321" s="256"/>
      <c r="G321" s="256"/>
      <c r="H321" s="256"/>
      <c r="I321" s="256"/>
      <c r="J321" s="256"/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  <c r="AA321" s="256"/>
    </row>
    <row r="322">
      <c r="A322" s="256"/>
      <c r="B322" s="255"/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  <c r="AA322" s="256"/>
    </row>
    <row r="323">
      <c r="A323" s="256"/>
      <c r="B323" s="255"/>
      <c r="C323" s="256"/>
      <c r="D323" s="256"/>
      <c r="E323" s="256"/>
      <c r="F323" s="256"/>
      <c r="G323" s="256"/>
      <c r="H323" s="256"/>
      <c r="I323" s="256"/>
      <c r="J323" s="256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  <c r="AA323" s="256"/>
    </row>
    <row r="324">
      <c r="A324" s="256"/>
      <c r="B324" s="255"/>
      <c r="C324" s="256"/>
      <c r="D324" s="256"/>
      <c r="E324" s="256"/>
      <c r="F324" s="256"/>
      <c r="G324" s="256"/>
      <c r="H324" s="256"/>
      <c r="I324" s="256"/>
      <c r="J324" s="256"/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  <c r="AA324" s="256"/>
    </row>
    <row r="325">
      <c r="A325" s="256"/>
      <c r="B325" s="255"/>
      <c r="C325" s="256"/>
      <c r="D325" s="256"/>
      <c r="E325" s="256"/>
      <c r="F325" s="256"/>
      <c r="G325" s="256"/>
      <c r="H325" s="256"/>
      <c r="I325" s="256"/>
      <c r="J325" s="256"/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  <c r="AA325" s="256"/>
    </row>
    <row r="326">
      <c r="A326" s="256"/>
      <c r="B326" s="255"/>
      <c r="C326" s="256"/>
      <c r="D326" s="256"/>
      <c r="E326" s="256"/>
      <c r="F326" s="256"/>
      <c r="G326" s="256"/>
      <c r="H326" s="256"/>
      <c r="I326" s="256"/>
      <c r="J326" s="256"/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  <c r="AA326" s="256"/>
    </row>
    <row r="327">
      <c r="A327" s="256"/>
      <c r="B327" s="255"/>
      <c r="C327" s="256"/>
      <c r="D327" s="256"/>
      <c r="E327" s="256"/>
      <c r="F327" s="256"/>
      <c r="G327" s="256"/>
      <c r="H327" s="256"/>
      <c r="I327" s="256"/>
      <c r="J327" s="256"/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  <c r="AA327" s="256"/>
    </row>
    <row r="328">
      <c r="A328" s="256"/>
      <c r="B328" s="255"/>
      <c r="C328" s="256"/>
      <c r="D328" s="256"/>
      <c r="E328" s="256"/>
      <c r="F328" s="256"/>
      <c r="G328" s="256"/>
      <c r="H328" s="256"/>
      <c r="I328" s="256"/>
      <c r="J328" s="256"/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  <c r="AA328" s="256"/>
    </row>
    <row r="329">
      <c r="A329" s="256"/>
      <c r="B329" s="255"/>
      <c r="C329" s="256"/>
      <c r="D329" s="256"/>
      <c r="E329" s="256"/>
      <c r="F329" s="256"/>
      <c r="G329" s="256"/>
      <c r="H329" s="256"/>
      <c r="I329" s="256"/>
      <c r="J329" s="256"/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  <c r="AA329" s="256"/>
    </row>
    <row r="330">
      <c r="A330" s="256"/>
      <c r="B330" s="255"/>
      <c r="C330" s="256"/>
      <c r="D330" s="256"/>
      <c r="E330" s="256"/>
      <c r="F330" s="256"/>
      <c r="G330" s="256"/>
      <c r="H330" s="256"/>
      <c r="I330" s="256"/>
      <c r="J330" s="256"/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  <c r="AA330" s="256"/>
    </row>
    <row r="331">
      <c r="A331" s="256"/>
      <c r="B331" s="255"/>
      <c r="C331" s="256"/>
      <c r="D331" s="256"/>
      <c r="E331" s="256"/>
      <c r="F331" s="256"/>
      <c r="G331" s="256"/>
      <c r="H331" s="256"/>
      <c r="I331" s="256"/>
      <c r="J331" s="256"/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  <c r="AA331" s="256"/>
    </row>
    <row r="332">
      <c r="A332" s="256"/>
      <c r="B332" s="255"/>
      <c r="C332" s="256"/>
      <c r="D332" s="256"/>
      <c r="E332" s="256"/>
      <c r="F332" s="256"/>
      <c r="G332" s="256"/>
      <c r="H332" s="256"/>
      <c r="I332" s="256"/>
      <c r="J332" s="256"/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  <c r="AA332" s="256"/>
    </row>
    <row r="333">
      <c r="A333" s="256"/>
      <c r="B333" s="255"/>
      <c r="C333" s="256"/>
      <c r="D333" s="256"/>
      <c r="E333" s="256"/>
      <c r="F333" s="256"/>
      <c r="G333" s="256"/>
      <c r="H333" s="256"/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  <c r="AA333" s="256"/>
    </row>
    <row r="334">
      <c r="A334" s="256"/>
      <c r="B334" s="255"/>
      <c r="C334" s="256"/>
      <c r="D334" s="256"/>
      <c r="E334" s="256"/>
      <c r="F334" s="256"/>
      <c r="G334" s="256"/>
      <c r="H334" s="256"/>
      <c r="I334" s="256"/>
      <c r="J334" s="256"/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  <c r="AA334" s="256"/>
    </row>
    <row r="335">
      <c r="A335" s="256"/>
      <c r="B335" s="255"/>
      <c r="C335" s="256"/>
      <c r="D335" s="256"/>
      <c r="E335" s="256"/>
      <c r="F335" s="256"/>
      <c r="G335" s="256"/>
      <c r="H335" s="256"/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  <c r="AA335" s="256"/>
    </row>
    <row r="336">
      <c r="A336" s="256"/>
      <c r="B336" s="255"/>
      <c r="C336" s="256"/>
      <c r="D336" s="256"/>
      <c r="E336" s="256"/>
      <c r="F336" s="256"/>
      <c r="G336" s="256"/>
      <c r="H336" s="256"/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  <c r="AA336" s="256"/>
    </row>
    <row r="337">
      <c r="A337" s="256"/>
      <c r="B337" s="255"/>
      <c r="C337" s="256"/>
      <c r="D337" s="256"/>
      <c r="E337" s="256"/>
      <c r="F337" s="256"/>
      <c r="G337" s="256"/>
      <c r="H337" s="256"/>
      <c r="I337" s="256"/>
      <c r="J337" s="256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</row>
    <row r="338">
      <c r="A338" s="256"/>
      <c r="B338" s="255"/>
      <c r="C338" s="256"/>
      <c r="D338" s="256"/>
      <c r="E338" s="256"/>
      <c r="F338" s="256"/>
      <c r="G338" s="256"/>
      <c r="H338" s="256"/>
      <c r="I338" s="256"/>
      <c r="J338" s="256"/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  <c r="AA338" s="256"/>
    </row>
    <row r="339">
      <c r="A339" s="256"/>
      <c r="B339" s="255"/>
      <c r="C339" s="256"/>
      <c r="D339" s="256"/>
      <c r="E339" s="256"/>
      <c r="F339" s="256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</row>
    <row r="340">
      <c r="A340" s="256"/>
      <c r="B340" s="255"/>
      <c r="C340" s="256"/>
      <c r="D340" s="256"/>
      <c r="E340" s="256"/>
      <c r="F340" s="256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</row>
    <row r="341">
      <c r="A341" s="256"/>
      <c r="B341" s="255"/>
      <c r="C341" s="256"/>
      <c r="D341" s="256"/>
      <c r="E341" s="256"/>
      <c r="F341" s="256"/>
      <c r="G341" s="256"/>
      <c r="H341" s="256"/>
      <c r="I341" s="256"/>
      <c r="J341" s="256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</row>
    <row r="342">
      <c r="A342" s="256"/>
      <c r="B342" s="255"/>
      <c r="C342" s="256"/>
      <c r="D342" s="256"/>
      <c r="E342" s="256"/>
      <c r="F342" s="256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  <c r="AA342" s="256"/>
    </row>
    <row r="343">
      <c r="A343" s="256"/>
      <c r="B343" s="255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  <c r="AA343" s="256"/>
    </row>
    <row r="344">
      <c r="A344" s="256"/>
      <c r="B344" s="255"/>
      <c r="C344" s="256"/>
      <c r="D344" s="256"/>
      <c r="E344" s="256"/>
      <c r="F344" s="256"/>
      <c r="G344" s="256"/>
      <c r="H344" s="256"/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  <c r="AA344" s="256"/>
    </row>
    <row r="345">
      <c r="A345" s="256"/>
      <c r="B345" s="255"/>
      <c r="C345" s="256"/>
      <c r="D345" s="256"/>
      <c r="E345" s="256"/>
      <c r="F345" s="256"/>
      <c r="G345" s="256"/>
      <c r="H345" s="256"/>
      <c r="I345" s="256"/>
      <c r="J345" s="256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  <c r="AA345" s="256"/>
    </row>
    <row r="346">
      <c r="A346" s="256"/>
      <c r="B346" s="255"/>
      <c r="C346" s="256"/>
      <c r="D346" s="256"/>
      <c r="E346" s="256"/>
      <c r="F346" s="256"/>
      <c r="G346" s="256"/>
      <c r="H346" s="256"/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  <c r="AA346" s="256"/>
    </row>
    <row r="347">
      <c r="A347" s="256"/>
      <c r="B347" s="255"/>
      <c r="C347" s="256"/>
      <c r="D347" s="256"/>
      <c r="E347" s="256"/>
      <c r="F347" s="256"/>
      <c r="G347" s="256"/>
      <c r="H347" s="256"/>
      <c r="I347" s="256"/>
      <c r="J347" s="256"/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  <c r="AA347" s="256"/>
    </row>
    <row r="348">
      <c r="A348" s="256"/>
      <c r="B348" s="255"/>
      <c r="C348" s="256"/>
      <c r="D348" s="256"/>
      <c r="E348" s="256"/>
      <c r="F348" s="256"/>
      <c r="G348" s="256"/>
      <c r="H348" s="256"/>
      <c r="I348" s="256"/>
      <c r="J348" s="256"/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  <c r="AA348" s="256"/>
    </row>
    <row r="349">
      <c r="A349" s="256"/>
      <c r="B349" s="255"/>
      <c r="C349" s="256"/>
      <c r="D349" s="256"/>
      <c r="E349" s="256"/>
      <c r="F349" s="256"/>
      <c r="G349" s="256"/>
      <c r="H349" s="256"/>
      <c r="I349" s="256"/>
      <c r="J349" s="256"/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  <c r="AA349" s="256"/>
    </row>
    <row r="350">
      <c r="A350" s="256"/>
      <c r="B350" s="255"/>
      <c r="C350" s="256"/>
      <c r="D350" s="256"/>
      <c r="E350" s="256"/>
      <c r="F350" s="256"/>
      <c r="G350" s="256"/>
      <c r="H350" s="256"/>
      <c r="I350" s="256"/>
      <c r="J350" s="256"/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  <c r="AA350" s="256"/>
    </row>
    <row r="351">
      <c r="A351" s="256"/>
      <c r="B351" s="255"/>
      <c r="C351" s="256"/>
      <c r="D351" s="256"/>
      <c r="E351" s="256"/>
      <c r="F351" s="256"/>
      <c r="G351" s="256"/>
      <c r="H351" s="256"/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  <c r="AA351" s="256"/>
    </row>
    <row r="352">
      <c r="A352" s="256"/>
      <c r="B352" s="255"/>
      <c r="C352" s="256"/>
      <c r="D352" s="256"/>
      <c r="E352" s="256"/>
      <c r="F352" s="256"/>
      <c r="G352" s="256"/>
      <c r="H352" s="256"/>
      <c r="I352" s="256"/>
      <c r="J352" s="256"/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  <c r="AA352" s="256"/>
    </row>
    <row r="353">
      <c r="A353" s="256"/>
      <c r="B353" s="255"/>
      <c r="C353" s="256"/>
      <c r="D353" s="256"/>
      <c r="E353" s="256"/>
      <c r="F353" s="256"/>
      <c r="G353" s="256"/>
      <c r="H353" s="256"/>
      <c r="I353" s="256"/>
      <c r="J353" s="256"/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  <c r="AA353" s="256"/>
    </row>
    <row r="354">
      <c r="A354" s="256"/>
      <c r="B354" s="255"/>
      <c r="C354" s="256"/>
      <c r="D354" s="256"/>
      <c r="E354" s="256"/>
      <c r="F354" s="256"/>
      <c r="G354" s="256"/>
      <c r="H354" s="256"/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  <c r="AA354" s="256"/>
    </row>
    <row r="355">
      <c r="A355" s="256"/>
      <c r="B355" s="255"/>
      <c r="C355" s="256"/>
      <c r="D355" s="256"/>
      <c r="E355" s="256"/>
      <c r="F355" s="256"/>
      <c r="G355" s="256"/>
      <c r="H355" s="256"/>
      <c r="I355" s="256"/>
      <c r="J355" s="256"/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  <c r="AA355" s="256"/>
    </row>
    <row r="356">
      <c r="A356" s="256"/>
      <c r="B356" s="255"/>
      <c r="C356" s="256"/>
      <c r="D356" s="256"/>
      <c r="E356" s="256"/>
      <c r="F356" s="256"/>
      <c r="G356" s="256"/>
      <c r="H356" s="256"/>
      <c r="I356" s="256"/>
      <c r="J356" s="256"/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  <c r="AA356" s="256"/>
    </row>
    <row r="357">
      <c r="A357" s="256"/>
      <c r="B357" s="255"/>
      <c r="C357" s="256"/>
      <c r="D357" s="256"/>
      <c r="E357" s="256"/>
      <c r="F357" s="256"/>
      <c r="G357" s="256"/>
      <c r="H357" s="256"/>
      <c r="I357" s="256"/>
      <c r="J357" s="256"/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  <c r="AA357" s="256"/>
    </row>
    <row r="358">
      <c r="A358" s="256"/>
      <c r="B358" s="255"/>
      <c r="C358" s="256"/>
      <c r="D358" s="256"/>
      <c r="E358" s="256"/>
      <c r="F358" s="256"/>
      <c r="G358" s="256"/>
      <c r="H358" s="256"/>
      <c r="I358" s="256"/>
      <c r="J358" s="256"/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  <c r="AA358" s="256"/>
    </row>
    <row r="359">
      <c r="A359" s="256"/>
      <c r="B359" s="255"/>
      <c r="C359" s="256"/>
      <c r="D359" s="256"/>
      <c r="E359" s="256"/>
      <c r="F359" s="256"/>
      <c r="G359" s="256"/>
      <c r="H359" s="256"/>
      <c r="I359" s="256"/>
      <c r="J359" s="256"/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  <c r="AA359" s="256"/>
    </row>
    <row r="360">
      <c r="A360" s="256"/>
      <c r="B360" s="255"/>
      <c r="C360" s="256"/>
      <c r="D360" s="256"/>
      <c r="E360" s="256"/>
      <c r="F360" s="256"/>
      <c r="G360" s="256"/>
      <c r="H360" s="256"/>
      <c r="I360" s="256"/>
      <c r="J360" s="256"/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  <c r="AA360" s="256"/>
    </row>
    <row r="361">
      <c r="A361" s="256"/>
      <c r="B361" s="255"/>
      <c r="C361" s="256"/>
      <c r="D361" s="256"/>
      <c r="E361" s="256"/>
      <c r="F361" s="256"/>
      <c r="G361" s="256"/>
      <c r="H361" s="256"/>
      <c r="I361" s="256"/>
      <c r="J361" s="256"/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  <c r="AA361" s="256"/>
    </row>
    <row r="362">
      <c r="A362" s="256"/>
      <c r="B362" s="255"/>
      <c r="C362" s="256"/>
      <c r="D362" s="256"/>
      <c r="E362" s="256"/>
      <c r="F362" s="256"/>
      <c r="G362" s="256"/>
      <c r="H362" s="256"/>
      <c r="I362" s="256"/>
      <c r="J362" s="256"/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  <c r="AA362" s="256"/>
    </row>
    <row r="363">
      <c r="A363" s="256"/>
      <c r="B363" s="255"/>
      <c r="C363" s="256"/>
      <c r="D363" s="256"/>
      <c r="E363" s="256"/>
      <c r="F363" s="256"/>
      <c r="G363" s="256"/>
      <c r="H363" s="256"/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  <c r="AA363" s="256"/>
    </row>
    <row r="364">
      <c r="A364" s="256"/>
      <c r="B364" s="255"/>
      <c r="C364" s="256"/>
      <c r="D364" s="256"/>
      <c r="E364" s="256"/>
      <c r="F364" s="256"/>
      <c r="G364" s="256"/>
      <c r="H364" s="256"/>
      <c r="I364" s="256"/>
      <c r="J364" s="256"/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  <c r="AA364" s="256"/>
    </row>
    <row r="365">
      <c r="A365" s="256"/>
      <c r="B365" s="255"/>
      <c r="C365" s="256"/>
      <c r="D365" s="256"/>
      <c r="E365" s="256"/>
      <c r="F365" s="256"/>
      <c r="G365" s="256"/>
      <c r="H365" s="256"/>
      <c r="I365" s="256"/>
      <c r="J365" s="256"/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</row>
    <row r="366">
      <c r="A366" s="256"/>
      <c r="B366" s="255"/>
      <c r="C366" s="256"/>
      <c r="D366" s="256"/>
      <c r="E366" s="256"/>
      <c r="F366" s="256"/>
      <c r="G366" s="256"/>
      <c r="H366" s="256"/>
      <c r="I366" s="256"/>
      <c r="J366" s="256"/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  <c r="AA366" s="256"/>
    </row>
    <row r="367">
      <c r="A367" s="256"/>
      <c r="B367" s="255"/>
      <c r="C367" s="256"/>
      <c r="D367" s="256"/>
      <c r="E367" s="256"/>
      <c r="F367" s="256"/>
      <c r="G367" s="256"/>
      <c r="H367" s="256"/>
      <c r="I367" s="256"/>
      <c r="J367" s="256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  <c r="AA367" s="256"/>
    </row>
    <row r="368">
      <c r="A368" s="256"/>
      <c r="B368" s="255"/>
      <c r="C368" s="256"/>
      <c r="D368" s="256"/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  <c r="AA368" s="256"/>
    </row>
    <row r="369">
      <c r="A369" s="256"/>
      <c r="B369" s="255"/>
      <c r="C369" s="256"/>
      <c r="D369" s="256"/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  <c r="AA369" s="256"/>
    </row>
    <row r="370">
      <c r="A370" s="256"/>
      <c r="B370" s="255"/>
      <c r="C370" s="256"/>
      <c r="D370" s="256"/>
      <c r="E370" s="256"/>
      <c r="F370" s="256"/>
      <c r="G370" s="256"/>
      <c r="H370" s="256"/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  <c r="AA370" s="256"/>
    </row>
    <row r="371">
      <c r="A371" s="256"/>
      <c r="B371" s="255"/>
      <c r="C371" s="256"/>
      <c r="D371" s="256"/>
      <c r="E371" s="256"/>
      <c r="F371" s="256"/>
      <c r="G371" s="256"/>
      <c r="H371" s="256"/>
      <c r="I371" s="256"/>
      <c r="J371" s="256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  <c r="AA371" s="256"/>
    </row>
    <row r="372">
      <c r="A372" s="256"/>
      <c r="B372" s="255"/>
      <c r="C372" s="256"/>
      <c r="D372" s="256"/>
      <c r="E372" s="256"/>
      <c r="F372" s="256"/>
      <c r="G372" s="256"/>
      <c r="H372" s="256"/>
      <c r="I372" s="256"/>
      <c r="J372" s="256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  <c r="AA372" s="256"/>
    </row>
    <row r="373">
      <c r="A373" s="256"/>
      <c r="B373" s="255"/>
      <c r="C373" s="256"/>
      <c r="D373" s="256"/>
      <c r="E373" s="256"/>
      <c r="F373" s="256"/>
      <c r="G373" s="256"/>
      <c r="H373" s="256"/>
      <c r="I373" s="256"/>
      <c r="J373" s="256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6"/>
    </row>
    <row r="374">
      <c r="A374" s="256"/>
      <c r="B374" s="255"/>
      <c r="C374" s="256"/>
      <c r="D374" s="256"/>
      <c r="E374" s="256"/>
      <c r="F374" s="256"/>
      <c r="G374" s="256"/>
      <c r="H374" s="256"/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  <c r="AA374" s="256"/>
    </row>
    <row r="375">
      <c r="A375" s="256"/>
      <c r="B375" s="255"/>
      <c r="C375" s="256"/>
      <c r="D375" s="256"/>
      <c r="E375" s="256"/>
      <c r="F375" s="256"/>
      <c r="G375" s="256"/>
      <c r="H375" s="256"/>
      <c r="I375" s="256"/>
      <c r="J375" s="256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  <c r="AA375" s="256"/>
    </row>
    <row r="376">
      <c r="A376" s="256"/>
      <c r="B376" s="255"/>
      <c r="C376" s="256"/>
      <c r="D376" s="256"/>
      <c r="E376" s="256"/>
      <c r="F376" s="256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</row>
    <row r="377">
      <c r="A377" s="256"/>
      <c r="B377" s="255"/>
      <c r="C377" s="256"/>
      <c r="D377" s="256"/>
      <c r="E377" s="256"/>
      <c r="F377" s="256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  <c r="AA377" s="256"/>
    </row>
    <row r="378">
      <c r="A378" s="256"/>
      <c r="B378" s="255"/>
      <c r="C378" s="256"/>
      <c r="D378" s="256"/>
      <c r="E378" s="256"/>
      <c r="F378" s="256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  <c r="AA378" s="256"/>
    </row>
    <row r="379">
      <c r="A379" s="256"/>
      <c r="B379" s="255"/>
      <c r="C379" s="256"/>
      <c r="D379" s="256"/>
      <c r="E379" s="256"/>
      <c r="F379" s="256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  <c r="AA379" s="256"/>
    </row>
    <row r="380">
      <c r="A380" s="256"/>
      <c r="B380" s="255"/>
      <c r="C380" s="256"/>
      <c r="D380" s="256"/>
      <c r="E380" s="256"/>
      <c r="F380" s="256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  <c r="AA380" s="256"/>
    </row>
    <row r="381">
      <c r="A381" s="256"/>
      <c r="B381" s="255"/>
      <c r="C381" s="256"/>
      <c r="D381" s="256"/>
      <c r="E381" s="256"/>
      <c r="F381" s="256"/>
      <c r="G381" s="256"/>
      <c r="H381" s="256"/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  <c r="AA381" s="256"/>
    </row>
    <row r="382">
      <c r="A382" s="256"/>
      <c r="B382" s="255"/>
      <c r="C382" s="256"/>
      <c r="D382" s="256"/>
      <c r="E382" s="256"/>
      <c r="F382" s="256"/>
      <c r="G382" s="256"/>
      <c r="H382" s="256"/>
      <c r="I382" s="256"/>
      <c r="J382" s="256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  <c r="AA382" s="256"/>
    </row>
    <row r="383">
      <c r="A383" s="256"/>
      <c r="B383" s="255"/>
      <c r="C383" s="256"/>
      <c r="D383" s="256"/>
      <c r="E383" s="256"/>
      <c r="F383" s="256"/>
      <c r="G383" s="256"/>
      <c r="H383" s="256"/>
      <c r="I383" s="256"/>
      <c r="J383" s="256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  <c r="AA383" s="256"/>
    </row>
    <row r="384">
      <c r="A384" s="256"/>
      <c r="B384" s="255"/>
      <c r="C384" s="256"/>
      <c r="D384" s="256"/>
      <c r="E384" s="256"/>
      <c r="F384" s="256"/>
      <c r="G384" s="256"/>
      <c r="H384" s="256"/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  <c r="AA384" s="256"/>
    </row>
    <row r="385">
      <c r="A385" s="256"/>
      <c r="B385" s="255"/>
      <c r="C385" s="256"/>
      <c r="D385" s="256"/>
      <c r="E385" s="256"/>
      <c r="F385" s="256"/>
      <c r="G385" s="256"/>
      <c r="H385" s="256"/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  <c r="AA385" s="256"/>
    </row>
    <row r="386">
      <c r="A386" s="256"/>
      <c r="B386" s="255"/>
      <c r="C386" s="256"/>
      <c r="D386" s="256"/>
      <c r="E386" s="256"/>
      <c r="F386" s="256"/>
      <c r="G386" s="256"/>
      <c r="H386" s="256"/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  <c r="AA386" s="256"/>
    </row>
    <row r="387">
      <c r="A387" s="256"/>
      <c r="B387" s="255"/>
      <c r="C387" s="256"/>
      <c r="D387" s="256"/>
      <c r="E387" s="256"/>
      <c r="F387" s="256"/>
      <c r="G387" s="256"/>
      <c r="H387" s="256"/>
      <c r="I387" s="256"/>
      <c r="J387" s="256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  <c r="AA387" s="256"/>
    </row>
    <row r="388">
      <c r="A388" s="256"/>
      <c r="B388" s="255"/>
      <c r="C388" s="256"/>
      <c r="D388" s="256"/>
      <c r="E388" s="256"/>
      <c r="F388" s="256"/>
      <c r="G388" s="256"/>
      <c r="H388" s="256"/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  <c r="AA388" s="256"/>
    </row>
    <row r="389">
      <c r="A389" s="256"/>
      <c r="B389" s="255"/>
      <c r="C389" s="256"/>
      <c r="D389" s="256"/>
      <c r="E389" s="256"/>
      <c r="F389" s="256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  <c r="AA389" s="256"/>
    </row>
    <row r="390">
      <c r="A390" s="256"/>
      <c r="B390" s="255"/>
      <c r="C390" s="256"/>
      <c r="D390" s="256"/>
      <c r="E390" s="256"/>
      <c r="F390" s="256"/>
      <c r="G390" s="256"/>
      <c r="H390" s="256"/>
      <c r="I390" s="256"/>
      <c r="J390" s="256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  <c r="AA390" s="256"/>
    </row>
    <row r="391">
      <c r="A391" s="256"/>
      <c r="B391" s="255"/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</row>
    <row r="392">
      <c r="A392" s="256"/>
      <c r="B392" s="255"/>
      <c r="C392" s="256"/>
      <c r="D392" s="256"/>
      <c r="E392" s="256"/>
      <c r="F392" s="256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  <c r="AA392" s="256"/>
    </row>
    <row r="393">
      <c r="A393" s="256"/>
      <c r="B393" s="255"/>
      <c r="C393" s="256"/>
      <c r="D393" s="256"/>
      <c r="E393" s="256"/>
      <c r="F393" s="256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</row>
    <row r="394">
      <c r="A394" s="256"/>
      <c r="B394" s="255"/>
      <c r="C394" s="256"/>
      <c r="D394" s="256"/>
      <c r="E394" s="256"/>
      <c r="F394" s="256"/>
      <c r="G394" s="256"/>
      <c r="H394" s="256"/>
      <c r="I394" s="256"/>
      <c r="J394" s="256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  <c r="AA394" s="256"/>
    </row>
    <row r="395">
      <c r="A395" s="256"/>
      <c r="B395" s="255"/>
      <c r="C395" s="256"/>
      <c r="D395" s="256"/>
      <c r="E395" s="256"/>
      <c r="F395" s="256"/>
      <c r="G395" s="256"/>
      <c r="H395" s="256"/>
      <c r="I395" s="256"/>
      <c r="J395" s="256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</row>
    <row r="396">
      <c r="A396" s="256"/>
      <c r="B396" s="255"/>
      <c r="C396" s="256"/>
      <c r="D396" s="256"/>
      <c r="E396" s="256"/>
      <c r="F396" s="256"/>
      <c r="G396" s="256"/>
      <c r="H396" s="256"/>
      <c r="I396" s="256"/>
      <c r="J396" s="256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  <c r="AA396" s="256"/>
    </row>
    <row r="397">
      <c r="A397" s="256"/>
      <c r="B397" s="255"/>
      <c r="C397" s="256"/>
      <c r="D397" s="256"/>
      <c r="E397" s="256"/>
      <c r="F397" s="256"/>
      <c r="G397" s="256"/>
      <c r="H397" s="256"/>
      <c r="I397" s="256"/>
      <c r="J397" s="256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  <c r="AA397" s="256"/>
    </row>
    <row r="398">
      <c r="A398" s="256"/>
      <c r="B398" s="255"/>
      <c r="C398" s="256"/>
      <c r="D398" s="256"/>
      <c r="E398" s="256"/>
      <c r="F398" s="256"/>
      <c r="G398" s="256"/>
      <c r="H398" s="256"/>
      <c r="I398" s="256"/>
      <c r="J398" s="256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  <c r="AA398" s="256"/>
    </row>
    <row r="399">
      <c r="A399" s="256"/>
      <c r="B399" s="255"/>
      <c r="C399" s="256"/>
      <c r="D399" s="256"/>
      <c r="E399" s="256"/>
      <c r="F399" s="256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</row>
    <row r="400">
      <c r="A400" s="256"/>
      <c r="B400" s="255"/>
      <c r="C400" s="256"/>
      <c r="D400" s="256"/>
      <c r="E400" s="256"/>
      <c r="F400" s="256"/>
      <c r="G400" s="256"/>
      <c r="H400" s="256"/>
      <c r="I400" s="256"/>
      <c r="J400" s="256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  <c r="AA400" s="256"/>
    </row>
    <row r="401">
      <c r="A401" s="256"/>
      <c r="B401" s="255"/>
      <c r="C401" s="256"/>
      <c r="D401" s="256"/>
      <c r="E401" s="256"/>
      <c r="F401" s="256"/>
      <c r="G401" s="256"/>
      <c r="H401" s="256"/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  <c r="AA401" s="256"/>
    </row>
    <row r="402">
      <c r="A402" s="256"/>
      <c r="B402" s="255"/>
      <c r="C402" s="256"/>
      <c r="D402" s="256"/>
      <c r="E402" s="256"/>
      <c r="F402" s="256"/>
      <c r="G402" s="256"/>
      <c r="H402" s="256"/>
      <c r="I402" s="256"/>
      <c r="J402" s="256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  <c r="AA402" s="256"/>
    </row>
    <row r="403">
      <c r="A403" s="256"/>
      <c r="B403" s="255"/>
      <c r="C403" s="256"/>
      <c r="D403" s="256"/>
      <c r="E403" s="256"/>
      <c r="F403" s="256"/>
      <c r="G403" s="256"/>
      <c r="H403" s="256"/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  <c r="AA403" s="256"/>
    </row>
    <row r="404">
      <c r="A404" s="256"/>
      <c r="B404" s="255"/>
      <c r="C404" s="256"/>
      <c r="D404" s="256"/>
      <c r="E404" s="256"/>
      <c r="F404" s="256"/>
      <c r="G404" s="256"/>
      <c r="H404" s="256"/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  <c r="AA404" s="256"/>
    </row>
    <row r="405">
      <c r="A405" s="256"/>
      <c r="B405" s="255"/>
      <c r="C405" s="256"/>
      <c r="D405" s="256"/>
      <c r="E405" s="256"/>
      <c r="F405" s="256"/>
      <c r="G405" s="256"/>
      <c r="H405" s="256"/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  <c r="AA405" s="256"/>
    </row>
    <row r="406">
      <c r="A406" s="256"/>
      <c r="B406" s="255"/>
      <c r="C406" s="256"/>
      <c r="D406" s="256"/>
      <c r="E406" s="256"/>
      <c r="F406" s="256"/>
      <c r="G406" s="256"/>
      <c r="H406" s="256"/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  <c r="AA406" s="256"/>
    </row>
    <row r="407">
      <c r="A407" s="256"/>
      <c r="B407" s="255"/>
      <c r="C407" s="256"/>
      <c r="D407" s="256"/>
      <c r="E407" s="256"/>
      <c r="F407" s="256"/>
      <c r="G407" s="256"/>
      <c r="H407" s="256"/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  <c r="AA407" s="256"/>
    </row>
    <row r="408">
      <c r="A408" s="256"/>
      <c r="B408" s="255"/>
      <c r="C408" s="256"/>
      <c r="D408" s="256"/>
      <c r="E408" s="256"/>
      <c r="F408" s="256"/>
      <c r="G408" s="256"/>
      <c r="H408" s="256"/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  <c r="AA408" s="256"/>
    </row>
    <row r="409">
      <c r="A409" s="256"/>
      <c r="B409" s="255"/>
      <c r="C409" s="256"/>
      <c r="D409" s="256"/>
      <c r="E409" s="256"/>
      <c r="F409" s="256"/>
      <c r="G409" s="256"/>
      <c r="H409" s="256"/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  <c r="AA409" s="256"/>
    </row>
    <row r="410">
      <c r="A410" s="256"/>
      <c r="B410" s="255"/>
      <c r="C410" s="256"/>
      <c r="D410" s="256"/>
      <c r="E410" s="256"/>
      <c r="F410" s="256"/>
      <c r="G410" s="256"/>
      <c r="H410" s="256"/>
      <c r="I410" s="256"/>
      <c r="J410" s="256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</row>
    <row r="411">
      <c r="A411" s="256"/>
      <c r="B411" s="255"/>
      <c r="C411" s="256"/>
      <c r="D411" s="256"/>
      <c r="E411" s="256"/>
      <c r="F411" s="256"/>
      <c r="G411" s="256"/>
      <c r="H411" s="256"/>
      <c r="I411" s="256"/>
      <c r="J411" s="256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  <c r="AA411" s="256"/>
    </row>
    <row r="412">
      <c r="A412" s="256"/>
      <c r="B412" s="255"/>
      <c r="C412" s="256"/>
      <c r="D412" s="256"/>
      <c r="E412" s="256"/>
      <c r="F412" s="256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</row>
    <row r="413">
      <c r="A413" s="256"/>
      <c r="B413" s="255"/>
      <c r="C413" s="256"/>
      <c r="D413" s="256"/>
      <c r="E413" s="256"/>
      <c r="F413" s="256"/>
      <c r="G413" s="256"/>
      <c r="H413" s="256"/>
      <c r="I413" s="256"/>
      <c r="J413" s="256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  <c r="AA413" s="256"/>
    </row>
    <row r="414">
      <c r="A414" s="256"/>
      <c r="B414" s="255"/>
      <c r="C414" s="256"/>
      <c r="D414" s="256"/>
      <c r="E414" s="256"/>
      <c r="F414" s="256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  <c r="AA414" s="256"/>
    </row>
    <row r="415">
      <c r="A415" s="256"/>
      <c r="B415" s="255"/>
      <c r="C415" s="256"/>
      <c r="D415" s="256"/>
      <c r="E415" s="256"/>
      <c r="F415" s="256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  <c r="AA415" s="256"/>
    </row>
    <row r="416">
      <c r="A416" s="256"/>
      <c r="B416" s="255"/>
      <c r="C416" s="256"/>
      <c r="D416" s="256"/>
      <c r="E416" s="256"/>
      <c r="F416" s="256"/>
      <c r="G416" s="256"/>
      <c r="H416" s="256"/>
      <c r="I416" s="256"/>
      <c r="J416" s="256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  <c r="AA416" s="256"/>
    </row>
    <row r="417">
      <c r="A417" s="256"/>
      <c r="B417" s="255"/>
      <c r="C417" s="256"/>
      <c r="D417" s="256"/>
      <c r="E417" s="256"/>
      <c r="F417" s="256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  <c r="AA417" s="256"/>
    </row>
    <row r="418">
      <c r="A418" s="256"/>
      <c r="B418" s="255"/>
      <c r="C418" s="256"/>
      <c r="D418" s="256"/>
      <c r="E418" s="256"/>
      <c r="F418" s="256"/>
      <c r="G418" s="256"/>
      <c r="H418" s="256"/>
      <c r="I418" s="256"/>
      <c r="J418" s="256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  <c r="AA418" s="256"/>
    </row>
    <row r="419">
      <c r="A419" s="256"/>
      <c r="B419" s="255"/>
      <c r="C419" s="256"/>
      <c r="D419" s="256"/>
      <c r="E419" s="256"/>
      <c r="F419" s="256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  <c r="AA419" s="256"/>
    </row>
    <row r="420">
      <c r="A420" s="256"/>
      <c r="B420" s="255"/>
      <c r="C420" s="256"/>
      <c r="D420" s="256"/>
      <c r="E420" s="256"/>
      <c r="F420" s="256"/>
      <c r="G420" s="256"/>
      <c r="H420" s="256"/>
      <c r="I420" s="256"/>
      <c r="J420" s="256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  <c r="AA420" s="256"/>
    </row>
    <row r="421">
      <c r="A421" s="256"/>
      <c r="B421" s="255"/>
      <c r="C421" s="256"/>
      <c r="D421" s="256"/>
      <c r="E421" s="256"/>
      <c r="F421" s="256"/>
      <c r="G421" s="256"/>
      <c r="H421" s="256"/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  <c r="AA421" s="256"/>
    </row>
    <row r="422">
      <c r="A422" s="256"/>
      <c r="B422" s="255"/>
      <c r="C422" s="256"/>
      <c r="D422" s="256"/>
      <c r="E422" s="256"/>
      <c r="F422" s="256"/>
      <c r="G422" s="256"/>
      <c r="H422" s="256"/>
      <c r="I422" s="256"/>
      <c r="J422" s="256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  <c r="AA422" s="256"/>
    </row>
    <row r="423">
      <c r="A423" s="256"/>
      <c r="B423" s="255"/>
      <c r="C423" s="256"/>
      <c r="D423" s="256"/>
      <c r="E423" s="256"/>
      <c r="F423" s="256"/>
      <c r="G423" s="256"/>
      <c r="H423" s="256"/>
      <c r="I423" s="256"/>
      <c r="J423" s="256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  <c r="AA423" s="256"/>
    </row>
    <row r="424">
      <c r="A424" s="256"/>
      <c r="B424" s="255"/>
      <c r="C424" s="256"/>
      <c r="D424" s="256"/>
      <c r="E424" s="256"/>
      <c r="F424" s="256"/>
      <c r="G424" s="256"/>
      <c r="H424" s="256"/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  <c r="AA424" s="256"/>
    </row>
    <row r="425">
      <c r="A425" s="256"/>
      <c r="B425" s="255"/>
      <c r="C425" s="256"/>
      <c r="D425" s="256"/>
      <c r="E425" s="256"/>
      <c r="F425" s="256"/>
      <c r="G425" s="256"/>
      <c r="H425" s="256"/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  <c r="AA425" s="256"/>
    </row>
    <row r="426">
      <c r="A426" s="256"/>
      <c r="B426" s="255"/>
      <c r="C426" s="256"/>
      <c r="D426" s="256"/>
      <c r="E426" s="256"/>
      <c r="F426" s="256"/>
      <c r="G426" s="256"/>
      <c r="H426" s="256"/>
      <c r="I426" s="256"/>
      <c r="J426" s="256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  <c r="AA426" s="256"/>
    </row>
    <row r="427">
      <c r="A427" s="256"/>
      <c r="B427" s="255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  <c r="AA427" s="256"/>
    </row>
    <row r="428">
      <c r="A428" s="256"/>
      <c r="B428" s="255"/>
      <c r="C428" s="256"/>
      <c r="D428" s="256"/>
      <c r="E428" s="256"/>
      <c r="F428" s="256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  <c r="AA428" s="256"/>
    </row>
    <row r="429">
      <c r="A429" s="256"/>
      <c r="B429" s="255"/>
      <c r="C429" s="256"/>
      <c r="D429" s="256"/>
      <c r="E429" s="256"/>
      <c r="F429" s="256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  <c r="AA429" s="256"/>
    </row>
    <row r="430">
      <c r="A430" s="256"/>
      <c r="B430" s="255"/>
      <c r="C430" s="256"/>
      <c r="D430" s="256"/>
      <c r="E430" s="256"/>
      <c r="F430" s="256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  <c r="AA430" s="256"/>
    </row>
    <row r="431">
      <c r="A431" s="256"/>
      <c r="B431" s="255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</row>
    <row r="432">
      <c r="A432" s="256"/>
      <c r="B432" s="255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  <c r="AA432" s="256"/>
    </row>
    <row r="433">
      <c r="A433" s="256"/>
      <c r="B433" s="255"/>
      <c r="C433" s="256"/>
      <c r="D433" s="256"/>
      <c r="E433" s="256"/>
      <c r="F433" s="256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  <c r="AA433" s="256"/>
    </row>
    <row r="434">
      <c r="A434" s="256"/>
      <c r="B434" s="255"/>
      <c r="C434" s="256"/>
      <c r="D434" s="256"/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</row>
    <row r="435">
      <c r="A435" s="256"/>
      <c r="B435" s="255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</row>
    <row r="436">
      <c r="A436" s="256"/>
      <c r="B436" s="255"/>
      <c r="C436" s="256"/>
      <c r="D436" s="256"/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  <c r="AA436" s="256"/>
    </row>
    <row r="437">
      <c r="A437" s="256"/>
      <c r="B437" s="255"/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  <c r="AA437" s="256"/>
    </row>
    <row r="438">
      <c r="A438" s="256"/>
      <c r="B438" s="255"/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</row>
    <row r="439">
      <c r="A439" s="256"/>
      <c r="B439" s="255"/>
      <c r="C439" s="256"/>
      <c r="D439" s="256"/>
      <c r="E439" s="256"/>
      <c r="F439" s="256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  <c r="AA439" s="256"/>
    </row>
    <row r="440">
      <c r="A440" s="256"/>
      <c r="B440" s="255"/>
      <c r="C440" s="256"/>
      <c r="D440" s="256"/>
      <c r="E440" s="256"/>
      <c r="F440" s="256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</row>
    <row r="441">
      <c r="A441" s="256"/>
      <c r="B441" s="255"/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  <c r="AA441" s="256"/>
    </row>
    <row r="442">
      <c r="A442" s="256"/>
      <c r="B442" s="255"/>
      <c r="C442" s="256"/>
      <c r="D442" s="256"/>
      <c r="E442" s="256"/>
      <c r="F442" s="256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</row>
    <row r="443">
      <c r="A443" s="256"/>
      <c r="B443" s="255"/>
      <c r="C443" s="256"/>
      <c r="D443" s="256"/>
      <c r="E443" s="256"/>
      <c r="F443" s="256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  <c r="AA443" s="256"/>
    </row>
    <row r="444">
      <c r="A444" s="256"/>
      <c r="B444" s="255"/>
      <c r="C444" s="256"/>
      <c r="D444" s="256"/>
      <c r="E444" s="256"/>
      <c r="F444" s="256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  <c r="AA444" s="256"/>
    </row>
    <row r="445">
      <c r="A445" s="256"/>
      <c r="B445" s="255"/>
      <c r="C445" s="256"/>
      <c r="D445" s="256"/>
      <c r="E445" s="256"/>
      <c r="F445" s="256"/>
      <c r="G445" s="256"/>
      <c r="H445" s="256"/>
      <c r="I445" s="256"/>
      <c r="J445" s="256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  <c r="AA445" s="256"/>
    </row>
    <row r="446">
      <c r="A446" s="256"/>
      <c r="B446" s="255"/>
      <c r="C446" s="256"/>
      <c r="D446" s="256"/>
      <c r="E446" s="256"/>
      <c r="F446" s="256"/>
      <c r="G446" s="256"/>
      <c r="H446" s="256"/>
      <c r="I446" s="256"/>
      <c r="J446" s="256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  <c r="AA446" s="256"/>
    </row>
    <row r="447">
      <c r="A447" s="256"/>
      <c r="B447" s="255"/>
      <c r="C447" s="256"/>
      <c r="D447" s="256"/>
      <c r="E447" s="256"/>
      <c r="F447" s="256"/>
      <c r="G447" s="256"/>
      <c r="H447" s="256"/>
      <c r="I447" s="256"/>
      <c r="J447" s="256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  <c r="AA447" s="256"/>
    </row>
    <row r="448">
      <c r="A448" s="256"/>
      <c r="B448" s="255"/>
      <c r="C448" s="256"/>
      <c r="D448" s="256"/>
      <c r="E448" s="256"/>
      <c r="F448" s="256"/>
      <c r="G448" s="256"/>
      <c r="H448" s="256"/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  <c r="AA448" s="256"/>
    </row>
    <row r="449">
      <c r="A449" s="256"/>
      <c r="B449" s="255"/>
      <c r="C449" s="256"/>
      <c r="D449" s="256"/>
      <c r="E449" s="256"/>
      <c r="F449" s="256"/>
      <c r="G449" s="256"/>
      <c r="H449" s="256"/>
      <c r="I449" s="256"/>
      <c r="J449" s="256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  <c r="AA449" s="256"/>
    </row>
    <row r="450">
      <c r="A450" s="256"/>
      <c r="B450" s="255"/>
      <c r="C450" s="256"/>
      <c r="D450" s="256"/>
      <c r="E450" s="256"/>
      <c r="F450" s="256"/>
      <c r="G450" s="256"/>
      <c r="H450" s="256"/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  <c r="AA450" s="256"/>
    </row>
    <row r="451">
      <c r="A451" s="256"/>
      <c r="B451" s="255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  <c r="AA451" s="256"/>
    </row>
    <row r="452">
      <c r="A452" s="256"/>
      <c r="B452" s="255"/>
      <c r="C452" s="256"/>
      <c r="D452" s="256"/>
      <c r="E452" s="256"/>
      <c r="F452" s="256"/>
      <c r="G452" s="256"/>
      <c r="H452" s="256"/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  <c r="AA452" s="256"/>
    </row>
    <row r="453">
      <c r="A453" s="256"/>
      <c r="B453" s="255"/>
      <c r="C453" s="256"/>
      <c r="D453" s="256"/>
      <c r="E453" s="256"/>
      <c r="F453" s="256"/>
      <c r="G453" s="256"/>
      <c r="H453" s="256"/>
      <c r="I453" s="256"/>
      <c r="J453" s="256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  <c r="AA453" s="256"/>
    </row>
    <row r="454">
      <c r="A454" s="256"/>
      <c r="B454" s="255"/>
      <c r="C454" s="256"/>
      <c r="D454" s="256"/>
      <c r="E454" s="256"/>
      <c r="F454" s="256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  <c r="AA454" s="256"/>
    </row>
    <row r="455">
      <c r="A455" s="256"/>
      <c r="B455" s="255"/>
      <c r="C455" s="256"/>
      <c r="D455" s="256"/>
      <c r="E455" s="256"/>
      <c r="F455" s="256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  <c r="AA455" s="256"/>
    </row>
    <row r="456">
      <c r="A456" s="256"/>
      <c r="B456" s="255"/>
      <c r="C456" s="256"/>
      <c r="D456" s="256"/>
      <c r="E456" s="256"/>
      <c r="F456" s="256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  <c r="AA456" s="256"/>
    </row>
    <row r="457">
      <c r="A457" s="256"/>
      <c r="B457" s="255"/>
      <c r="C457" s="256"/>
      <c r="D457" s="256"/>
      <c r="E457" s="256"/>
      <c r="F457" s="256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  <c r="AA457" s="256"/>
    </row>
    <row r="458">
      <c r="A458" s="256"/>
      <c r="B458" s="255"/>
      <c r="C458" s="256"/>
      <c r="D458" s="256"/>
      <c r="E458" s="256"/>
      <c r="F458" s="256"/>
      <c r="G458" s="256"/>
      <c r="H458" s="256"/>
      <c r="I458" s="256"/>
      <c r="J458" s="256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  <c r="AA458" s="256"/>
    </row>
    <row r="459">
      <c r="A459" s="256"/>
      <c r="B459" s="255"/>
      <c r="C459" s="256"/>
      <c r="D459" s="256"/>
      <c r="E459" s="256"/>
      <c r="F459" s="256"/>
      <c r="G459" s="256"/>
      <c r="H459" s="256"/>
      <c r="I459" s="256"/>
      <c r="J459" s="256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  <c r="AA459" s="256"/>
    </row>
    <row r="460">
      <c r="A460" s="256"/>
      <c r="B460" s="255"/>
      <c r="C460" s="256"/>
      <c r="D460" s="256"/>
      <c r="E460" s="256"/>
      <c r="F460" s="256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  <c r="AA460" s="256"/>
    </row>
    <row r="461">
      <c r="A461" s="256"/>
      <c r="B461" s="255"/>
      <c r="C461" s="256"/>
      <c r="D461" s="256"/>
      <c r="E461" s="256"/>
      <c r="F461" s="256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  <c r="AA461" s="256"/>
    </row>
    <row r="462">
      <c r="A462" s="256"/>
      <c r="B462" s="255"/>
      <c r="C462" s="256"/>
      <c r="D462" s="256"/>
      <c r="E462" s="256"/>
      <c r="F462" s="256"/>
      <c r="G462" s="256"/>
      <c r="H462" s="256"/>
      <c r="I462" s="256"/>
      <c r="J462" s="256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  <c r="AA462" s="256"/>
    </row>
    <row r="463">
      <c r="A463" s="256"/>
      <c r="B463" s="255"/>
      <c r="C463" s="256"/>
      <c r="D463" s="256"/>
      <c r="E463" s="256"/>
      <c r="F463" s="256"/>
      <c r="G463" s="256"/>
      <c r="H463" s="256"/>
      <c r="I463" s="256"/>
      <c r="J463" s="256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  <c r="AA463" s="256"/>
    </row>
    <row r="464">
      <c r="A464" s="256"/>
      <c r="B464" s="255"/>
      <c r="C464" s="256"/>
      <c r="D464" s="256"/>
      <c r="E464" s="256"/>
      <c r="F464" s="256"/>
      <c r="G464" s="256"/>
      <c r="H464" s="256"/>
      <c r="I464" s="256"/>
      <c r="J464" s="256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  <c r="AA464" s="256"/>
    </row>
    <row r="465">
      <c r="A465" s="256"/>
      <c r="B465" s="255"/>
      <c r="C465" s="256"/>
      <c r="D465" s="256"/>
      <c r="E465" s="256"/>
      <c r="F465" s="256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  <c r="AA465" s="256"/>
    </row>
    <row r="466">
      <c r="A466" s="256"/>
      <c r="B466" s="255"/>
      <c r="C466" s="256"/>
      <c r="D466" s="256"/>
      <c r="E466" s="256"/>
      <c r="F466" s="256"/>
      <c r="G466" s="256"/>
      <c r="H466" s="256"/>
      <c r="I466" s="256"/>
      <c r="J466" s="256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  <c r="AA466" s="256"/>
    </row>
    <row r="467">
      <c r="A467" s="256"/>
      <c r="B467" s="255"/>
      <c r="C467" s="256"/>
      <c r="D467" s="256"/>
      <c r="E467" s="256"/>
      <c r="F467" s="256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  <c r="AA467" s="256"/>
    </row>
    <row r="468">
      <c r="A468" s="256"/>
      <c r="B468" s="255"/>
      <c r="C468" s="256"/>
      <c r="D468" s="256"/>
      <c r="E468" s="256"/>
      <c r="F468" s="256"/>
      <c r="G468" s="256"/>
      <c r="H468" s="256"/>
      <c r="I468" s="256"/>
      <c r="J468" s="256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  <c r="AA468" s="256"/>
    </row>
    <row r="469">
      <c r="A469" s="256"/>
      <c r="B469" s="255"/>
      <c r="C469" s="256"/>
      <c r="D469" s="256"/>
      <c r="E469" s="256"/>
      <c r="F469" s="256"/>
      <c r="G469" s="256"/>
      <c r="H469" s="256"/>
      <c r="I469" s="256"/>
      <c r="J469" s="256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  <c r="AA469" s="256"/>
    </row>
    <row r="470">
      <c r="A470" s="256"/>
      <c r="B470" s="255"/>
      <c r="C470" s="256"/>
      <c r="D470" s="256"/>
      <c r="E470" s="256"/>
      <c r="F470" s="256"/>
      <c r="G470" s="256"/>
      <c r="H470" s="256"/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  <c r="AA470" s="256"/>
    </row>
    <row r="471">
      <c r="A471" s="256"/>
      <c r="B471" s="255"/>
      <c r="C471" s="256"/>
      <c r="D471" s="256"/>
      <c r="E471" s="256"/>
      <c r="F471" s="256"/>
      <c r="G471" s="256"/>
      <c r="H471" s="256"/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  <c r="AA471" s="256"/>
    </row>
    <row r="472">
      <c r="A472" s="256"/>
      <c r="B472" s="255"/>
      <c r="C472" s="256"/>
      <c r="D472" s="256"/>
      <c r="E472" s="256"/>
      <c r="F472" s="256"/>
      <c r="G472" s="256"/>
      <c r="H472" s="256"/>
      <c r="I472" s="256"/>
      <c r="J472" s="256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  <c r="AA472" s="256"/>
    </row>
    <row r="473">
      <c r="A473" s="256"/>
      <c r="B473" s="255"/>
      <c r="C473" s="256"/>
      <c r="D473" s="256"/>
      <c r="E473" s="256"/>
      <c r="F473" s="256"/>
      <c r="G473" s="256"/>
      <c r="H473" s="256"/>
      <c r="I473" s="256"/>
      <c r="J473" s="256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  <c r="AA473" s="256"/>
    </row>
    <row r="474">
      <c r="A474" s="256"/>
      <c r="B474" s="255"/>
      <c r="C474" s="256"/>
      <c r="D474" s="256"/>
      <c r="E474" s="256"/>
      <c r="F474" s="256"/>
      <c r="G474" s="256"/>
      <c r="H474" s="256"/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  <c r="AA474" s="256"/>
    </row>
    <row r="475">
      <c r="A475" s="256"/>
      <c r="B475" s="255"/>
      <c r="C475" s="256"/>
      <c r="D475" s="256"/>
      <c r="E475" s="256"/>
      <c r="F475" s="256"/>
      <c r="G475" s="256"/>
      <c r="H475" s="256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  <c r="AA475" s="256"/>
    </row>
    <row r="476">
      <c r="A476" s="256"/>
      <c r="B476" s="255"/>
      <c r="C476" s="256"/>
      <c r="D476" s="256"/>
      <c r="E476" s="256"/>
      <c r="F476" s="256"/>
      <c r="G476" s="256"/>
      <c r="H476" s="256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  <c r="AA476" s="256"/>
    </row>
    <row r="477">
      <c r="A477" s="256"/>
      <c r="B477" s="255"/>
      <c r="C477" s="256"/>
      <c r="D477" s="256"/>
      <c r="E477" s="256"/>
      <c r="F477" s="256"/>
      <c r="G477" s="256"/>
      <c r="H477" s="256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  <c r="AA477" s="256"/>
    </row>
    <row r="478">
      <c r="A478" s="256"/>
      <c r="B478" s="255"/>
      <c r="C478" s="256"/>
      <c r="D478" s="256"/>
      <c r="E478" s="256"/>
      <c r="F478" s="256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  <c r="AA478" s="256"/>
    </row>
    <row r="479">
      <c r="A479" s="256"/>
      <c r="B479" s="255"/>
      <c r="C479" s="256"/>
      <c r="D479" s="256"/>
      <c r="E479" s="256"/>
      <c r="F479" s="256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  <c r="AA479" s="256"/>
    </row>
    <row r="480">
      <c r="A480" s="256"/>
      <c r="B480" s="255"/>
      <c r="C480" s="256"/>
      <c r="D480" s="256"/>
      <c r="E480" s="256"/>
      <c r="F480" s="256"/>
      <c r="G480" s="256"/>
      <c r="H480" s="256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  <c r="AA480" s="256"/>
    </row>
    <row r="481">
      <c r="A481" s="256"/>
      <c r="B481" s="255"/>
      <c r="C481" s="256"/>
      <c r="D481" s="256"/>
      <c r="E481" s="256"/>
      <c r="F481" s="256"/>
      <c r="G481" s="256"/>
      <c r="H481" s="256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  <c r="AA481" s="256"/>
    </row>
    <row r="482">
      <c r="A482" s="256"/>
      <c r="B482" s="255"/>
      <c r="C482" s="256"/>
      <c r="D482" s="256"/>
      <c r="E482" s="256"/>
      <c r="F482" s="256"/>
      <c r="G482" s="256"/>
      <c r="H482" s="256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</row>
    <row r="483">
      <c r="A483" s="256"/>
      <c r="B483" s="255"/>
      <c r="C483" s="256"/>
      <c r="D483" s="256"/>
      <c r="E483" s="256"/>
      <c r="F483" s="256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  <c r="AA483" s="256"/>
    </row>
    <row r="484">
      <c r="A484" s="256"/>
      <c r="B484" s="255"/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</row>
    <row r="485">
      <c r="A485" s="256"/>
      <c r="B485" s="255"/>
      <c r="C485" s="256"/>
      <c r="D485" s="256"/>
      <c r="E485" s="256"/>
      <c r="F485" s="256"/>
      <c r="G485" s="256"/>
      <c r="H485" s="256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  <c r="AA485" s="256"/>
    </row>
    <row r="486">
      <c r="A486" s="256"/>
      <c r="B486" s="255"/>
      <c r="C486" s="256"/>
      <c r="D486" s="256"/>
      <c r="E486" s="256"/>
      <c r="F486" s="256"/>
      <c r="G486" s="256"/>
      <c r="H486" s="256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  <c r="AA486" s="256"/>
    </row>
    <row r="487">
      <c r="A487" s="256"/>
      <c r="B487" s="255"/>
      <c r="C487" s="256"/>
      <c r="D487" s="256"/>
      <c r="E487" s="256"/>
      <c r="F487" s="256"/>
      <c r="G487" s="256"/>
      <c r="H487" s="256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  <c r="AA487" s="256"/>
    </row>
    <row r="488">
      <c r="A488" s="256"/>
      <c r="B488" s="255"/>
      <c r="C488" s="256"/>
      <c r="D488" s="256"/>
      <c r="E488" s="256"/>
      <c r="F488" s="256"/>
      <c r="G488" s="256"/>
      <c r="H488" s="256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  <c r="AA488" s="256"/>
    </row>
    <row r="489">
      <c r="A489" s="256"/>
      <c r="B489" s="255"/>
      <c r="C489" s="256"/>
      <c r="D489" s="256"/>
      <c r="E489" s="256"/>
      <c r="F489" s="256"/>
      <c r="G489" s="256"/>
      <c r="H489" s="256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  <c r="AA489" s="256"/>
    </row>
    <row r="490">
      <c r="A490" s="256"/>
      <c r="B490" s="255"/>
      <c r="C490" s="256"/>
      <c r="D490" s="256"/>
      <c r="E490" s="256"/>
      <c r="F490" s="256"/>
      <c r="G490" s="256"/>
      <c r="H490" s="256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  <c r="AA490" s="256"/>
    </row>
    <row r="491">
      <c r="A491" s="256"/>
      <c r="B491" s="255"/>
      <c r="C491" s="256"/>
      <c r="D491" s="256"/>
      <c r="E491" s="256"/>
      <c r="F491" s="256"/>
      <c r="G491" s="256"/>
      <c r="H491" s="256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  <c r="AA491" s="256"/>
    </row>
    <row r="492">
      <c r="A492" s="256"/>
      <c r="B492" s="255"/>
      <c r="C492" s="256"/>
      <c r="D492" s="256"/>
      <c r="E492" s="256"/>
      <c r="F492" s="256"/>
      <c r="G492" s="256"/>
      <c r="H492" s="256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  <c r="AA492" s="256"/>
    </row>
    <row r="493">
      <c r="A493" s="256"/>
      <c r="B493" s="255"/>
      <c r="C493" s="256"/>
      <c r="D493" s="256"/>
      <c r="E493" s="256"/>
      <c r="F493" s="256"/>
      <c r="G493" s="256"/>
      <c r="H493" s="256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  <c r="AA493" s="256"/>
    </row>
    <row r="494">
      <c r="A494" s="256"/>
      <c r="B494" s="255"/>
      <c r="C494" s="256"/>
      <c r="D494" s="256"/>
      <c r="E494" s="256"/>
      <c r="F494" s="256"/>
      <c r="G494" s="256"/>
      <c r="H494" s="256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  <c r="AA494" s="256"/>
    </row>
    <row r="495">
      <c r="A495" s="256"/>
      <c r="B495" s="255"/>
      <c r="C495" s="256"/>
      <c r="D495" s="256"/>
      <c r="E495" s="256"/>
      <c r="F495" s="256"/>
      <c r="G495" s="256"/>
      <c r="H495" s="256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  <c r="AA495" s="256"/>
    </row>
    <row r="496">
      <c r="A496" s="256"/>
      <c r="B496" s="255"/>
      <c r="C496" s="256"/>
      <c r="D496" s="256"/>
      <c r="E496" s="256"/>
      <c r="F496" s="256"/>
      <c r="G496" s="256"/>
      <c r="H496" s="256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  <c r="AA496" s="256"/>
    </row>
    <row r="497">
      <c r="A497" s="256"/>
      <c r="B497" s="255"/>
      <c r="C497" s="256"/>
      <c r="D497" s="256"/>
      <c r="E497" s="256"/>
      <c r="F497" s="256"/>
      <c r="G497" s="256"/>
      <c r="H497" s="256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  <c r="AA497" s="256"/>
    </row>
    <row r="498">
      <c r="A498" s="256"/>
      <c r="B498" s="255"/>
      <c r="C498" s="256"/>
      <c r="D498" s="256"/>
      <c r="E498" s="256"/>
      <c r="F498" s="256"/>
      <c r="G498" s="256"/>
      <c r="H498" s="256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  <c r="AA498" s="256"/>
    </row>
    <row r="499">
      <c r="A499" s="256"/>
      <c r="B499" s="255"/>
      <c r="C499" s="256"/>
      <c r="D499" s="256"/>
      <c r="E499" s="256"/>
      <c r="F499" s="256"/>
      <c r="G499" s="256"/>
      <c r="H499" s="256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  <c r="AA499" s="256"/>
    </row>
    <row r="500">
      <c r="A500" s="256"/>
      <c r="B500" s="255"/>
      <c r="C500" s="256"/>
      <c r="D500" s="256"/>
      <c r="E500" s="256"/>
      <c r="F500" s="256"/>
      <c r="G500" s="256"/>
      <c r="H500" s="256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  <c r="AA500" s="256"/>
    </row>
    <row r="501">
      <c r="A501" s="256"/>
      <c r="B501" s="255"/>
      <c r="C501" s="256"/>
      <c r="D501" s="256"/>
      <c r="E501" s="256"/>
      <c r="F501" s="256"/>
      <c r="G501" s="256"/>
      <c r="H501" s="256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  <c r="AA501" s="256"/>
    </row>
    <row r="502">
      <c r="A502" s="256"/>
      <c r="B502" s="255"/>
      <c r="C502" s="256"/>
      <c r="D502" s="256"/>
      <c r="E502" s="256"/>
      <c r="F502" s="256"/>
      <c r="G502" s="256"/>
      <c r="H502" s="256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  <c r="AA502" s="256"/>
    </row>
    <row r="503">
      <c r="A503" s="256"/>
      <c r="B503" s="255"/>
      <c r="C503" s="256"/>
      <c r="D503" s="256"/>
      <c r="E503" s="256"/>
      <c r="F503" s="256"/>
      <c r="G503" s="256"/>
      <c r="H503" s="256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  <c r="AA503" s="256"/>
    </row>
    <row r="504">
      <c r="A504" s="256"/>
      <c r="B504" s="255"/>
      <c r="C504" s="256"/>
      <c r="D504" s="256"/>
      <c r="E504" s="256"/>
      <c r="F504" s="256"/>
      <c r="G504" s="256"/>
      <c r="H504" s="256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  <c r="AA504" s="256"/>
    </row>
    <row r="505">
      <c r="A505" s="256"/>
      <c r="B505" s="255"/>
      <c r="C505" s="256"/>
      <c r="D505" s="256"/>
      <c r="E505" s="256"/>
      <c r="F505" s="256"/>
      <c r="G505" s="256"/>
      <c r="H505" s="256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  <c r="AA505" s="256"/>
    </row>
    <row r="506">
      <c r="A506" s="256"/>
      <c r="B506" s="255"/>
      <c r="C506" s="256"/>
      <c r="D506" s="256"/>
      <c r="E506" s="256"/>
      <c r="F506" s="256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  <c r="AA506" s="256"/>
    </row>
    <row r="507">
      <c r="A507" s="256"/>
      <c r="B507" s="255"/>
      <c r="C507" s="256"/>
      <c r="D507" s="256"/>
      <c r="E507" s="256"/>
      <c r="F507" s="256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  <c r="AA507" s="256"/>
    </row>
    <row r="508">
      <c r="A508" s="256"/>
      <c r="B508" s="255"/>
      <c r="C508" s="256"/>
      <c r="D508" s="256"/>
      <c r="E508" s="256"/>
      <c r="F508" s="256"/>
      <c r="G508" s="256"/>
      <c r="H508" s="256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  <c r="AA508" s="256"/>
    </row>
    <row r="509">
      <c r="A509" s="256"/>
      <c r="B509" s="255"/>
      <c r="C509" s="256"/>
      <c r="D509" s="256"/>
      <c r="E509" s="256"/>
      <c r="F509" s="256"/>
      <c r="G509" s="256"/>
      <c r="H509" s="256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  <c r="AA509" s="256"/>
    </row>
    <row r="510">
      <c r="A510" s="256"/>
      <c r="B510" s="255"/>
      <c r="C510" s="256"/>
      <c r="D510" s="256"/>
      <c r="E510" s="256"/>
      <c r="F510" s="256"/>
      <c r="G510" s="256"/>
      <c r="H510" s="256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  <c r="AA510" s="256"/>
    </row>
    <row r="511">
      <c r="A511" s="256"/>
      <c r="B511" s="255"/>
      <c r="C511" s="256"/>
      <c r="D511" s="256"/>
      <c r="E511" s="256"/>
      <c r="F511" s="256"/>
      <c r="G511" s="256"/>
      <c r="H511" s="256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  <c r="AA511" s="256"/>
    </row>
    <row r="512">
      <c r="A512" s="256"/>
      <c r="B512" s="255"/>
      <c r="C512" s="256"/>
      <c r="D512" s="256"/>
      <c r="E512" s="256"/>
      <c r="F512" s="256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  <c r="AA512" s="256"/>
    </row>
    <row r="513">
      <c r="A513" s="256"/>
      <c r="B513" s="255"/>
      <c r="C513" s="256"/>
      <c r="D513" s="256"/>
      <c r="E513" s="256"/>
      <c r="F513" s="256"/>
      <c r="G513" s="256"/>
      <c r="H513" s="256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  <c r="AA513" s="256"/>
    </row>
    <row r="514">
      <c r="A514" s="256"/>
      <c r="B514" s="255"/>
      <c r="C514" s="256"/>
      <c r="D514" s="256"/>
      <c r="E514" s="256"/>
      <c r="F514" s="256"/>
      <c r="G514" s="256"/>
      <c r="H514" s="256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  <c r="AA514" s="256"/>
    </row>
    <row r="515">
      <c r="A515" s="256"/>
      <c r="B515" s="255"/>
      <c r="C515" s="256"/>
      <c r="D515" s="256"/>
      <c r="E515" s="256"/>
      <c r="F515" s="256"/>
      <c r="G515" s="256"/>
      <c r="H515" s="256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  <c r="AA515" s="256"/>
    </row>
    <row r="516">
      <c r="A516" s="256"/>
      <c r="B516" s="255"/>
      <c r="C516" s="256"/>
      <c r="D516" s="256"/>
      <c r="E516" s="256"/>
      <c r="F516" s="256"/>
      <c r="G516" s="256"/>
      <c r="H516" s="256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  <c r="AA516" s="256"/>
    </row>
    <row r="517">
      <c r="A517" s="256"/>
      <c r="B517" s="255"/>
      <c r="C517" s="256"/>
      <c r="D517" s="256"/>
      <c r="E517" s="256"/>
      <c r="F517" s="256"/>
      <c r="G517" s="256"/>
      <c r="H517" s="256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  <c r="AA517" s="256"/>
    </row>
    <row r="518">
      <c r="A518" s="256"/>
      <c r="B518" s="255"/>
      <c r="C518" s="256"/>
      <c r="D518" s="256"/>
      <c r="E518" s="256"/>
      <c r="F518" s="256"/>
      <c r="G518" s="256"/>
      <c r="H518" s="256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  <c r="AA518" s="256"/>
    </row>
    <row r="519">
      <c r="A519" s="256"/>
      <c r="B519" s="255"/>
      <c r="C519" s="256"/>
      <c r="D519" s="256"/>
      <c r="E519" s="256"/>
      <c r="F519" s="256"/>
      <c r="G519" s="256"/>
      <c r="H519" s="256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  <c r="AA519" s="256"/>
    </row>
    <row r="520">
      <c r="A520" s="256"/>
      <c r="B520" s="255"/>
      <c r="C520" s="256"/>
      <c r="D520" s="256"/>
      <c r="E520" s="256"/>
      <c r="F520" s="256"/>
      <c r="G520" s="256"/>
      <c r="H520" s="256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  <c r="AA520" s="256"/>
    </row>
    <row r="521">
      <c r="A521" s="256"/>
      <c r="B521" s="255"/>
      <c r="C521" s="256"/>
      <c r="D521" s="256"/>
      <c r="E521" s="256"/>
      <c r="F521" s="256"/>
      <c r="G521" s="256"/>
      <c r="H521" s="256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  <c r="AA521" s="256"/>
    </row>
    <row r="522">
      <c r="A522" s="256"/>
      <c r="B522" s="255"/>
      <c r="C522" s="256"/>
      <c r="D522" s="256"/>
      <c r="E522" s="256"/>
      <c r="F522" s="256"/>
      <c r="G522" s="256"/>
      <c r="H522" s="256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  <c r="AA522" s="256"/>
    </row>
    <row r="523">
      <c r="A523" s="256"/>
      <c r="B523" s="255"/>
      <c r="C523" s="256"/>
      <c r="D523" s="256"/>
      <c r="E523" s="256"/>
      <c r="F523" s="256"/>
      <c r="G523" s="256"/>
      <c r="H523" s="256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  <c r="AA523" s="256"/>
    </row>
    <row r="524">
      <c r="A524" s="256"/>
      <c r="B524" s="255"/>
      <c r="C524" s="256"/>
      <c r="D524" s="256"/>
      <c r="E524" s="256"/>
      <c r="F524" s="256"/>
      <c r="G524" s="256"/>
      <c r="H524" s="256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  <c r="AA524" s="256"/>
    </row>
    <row r="525">
      <c r="A525" s="256"/>
      <c r="B525" s="255"/>
      <c r="C525" s="256"/>
      <c r="D525" s="256"/>
      <c r="E525" s="256"/>
      <c r="F525" s="256"/>
      <c r="G525" s="256"/>
      <c r="H525" s="256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  <c r="AA525" s="256"/>
    </row>
    <row r="526">
      <c r="A526" s="256"/>
      <c r="B526" s="255"/>
      <c r="C526" s="256"/>
      <c r="D526" s="256"/>
      <c r="E526" s="256"/>
      <c r="F526" s="256"/>
      <c r="G526" s="256"/>
      <c r="H526" s="256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  <c r="AA526" s="256"/>
    </row>
    <row r="527">
      <c r="A527" s="256"/>
      <c r="B527" s="255"/>
      <c r="C527" s="256"/>
      <c r="D527" s="256"/>
      <c r="E527" s="256"/>
      <c r="F527" s="256"/>
      <c r="G527" s="256"/>
      <c r="H527" s="256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  <c r="AA527" s="256"/>
    </row>
    <row r="528">
      <c r="A528" s="256"/>
      <c r="B528" s="255"/>
      <c r="C528" s="256"/>
      <c r="D528" s="256"/>
      <c r="E528" s="256"/>
      <c r="F528" s="256"/>
      <c r="G528" s="256"/>
      <c r="H528" s="256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  <c r="AA528" s="256"/>
    </row>
    <row r="529">
      <c r="A529" s="256"/>
      <c r="B529" s="255"/>
      <c r="C529" s="256"/>
      <c r="D529" s="256"/>
      <c r="E529" s="256"/>
      <c r="F529" s="256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  <c r="AA529" s="256"/>
    </row>
    <row r="530">
      <c r="A530" s="256"/>
      <c r="B530" s="255"/>
      <c r="C530" s="256"/>
      <c r="D530" s="256"/>
      <c r="E530" s="256"/>
      <c r="F530" s="256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  <c r="AA530" s="256"/>
    </row>
    <row r="531">
      <c r="A531" s="256"/>
      <c r="B531" s="255"/>
      <c r="C531" s="256"/>
      <c r="D531" s="256"/>
      <c r="E531" s="256"/>
      <c r="F531" s="256"/>
      <c r="G531" s="256"/>
      <c r="H531" s="256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  <c r="AA531" s="256"/>
    </row>
    <row r="532">
      <c r="A532" s="256"/>
      <c r="B532" s="255"/>
      <c r="C532" s="256"/>
      <c r="D532" s="256"/>
      <c r="E532" s="256"/>
      <c r="F532" s="256"/>
      <c r="G532" s="256"/>
      <c r="H532" s="256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  <c r="AA532" s="256"/>
    </row>
    <row r="533">
      <c r="A533" s="256"/>
      <c r="B533" s="255"/>
      <c r="C533" s="256"/>
      <c r="D533" s="256"/>
      <c r="E533" s="256"/>
      <c r="F533" s="256"/>
      <c r="G533" s="256"/>
      <c r="H533" s="256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  <c r="AA533" s="256"/>
    </row>
    <row r="534">
      <c r="A534" s="256"/>
      <c r="B534" s="255"/>
      <c r="C534" s="256"/>
      <c r="D534" s="256"/>
      <c r="E534" s="256"/>
      <c r="F534" s="256"/>
      <c r="G534" s="256"/>
      <c r="H534" s="256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  <c r="AA534" s="256"/>
    </row>
    <row r="535">
      <c r="A535" s="256"/>
      <c r="B535" s="255"/>
      <c r="C535" s="256"/>
      <c r="D535" s="256"/>
      <c r="E535" s="256"/>
      <c r="F535" s="256"/>
      <c r="G535" s="256"/>
      <c r="H535" s="256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  <c r="AA535" s="256"/>
    </row>
    <row r="536">
      <c r="A536" s="256"/>
      <c r="B536" s="255"/>
      <c r="C536" s="256"/>
      <c r="D536" s="256"/>
      <c r="E536" s="256"/>
      <c r="F536" s="256"/>
      <c r="G536" s="256"/>
      <c r="H536" s="256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  <c r="AA536" s="256"/>
    </row>
    <row r="537">
      <c r="A537" s="256"/>
      <c r="B537" s="255"/>
      <c r="C537" s="256"/>
      <c r="D537" s="256"/>
      <c r="E537" s="256"/>
      <c r="F537" s="256"/>
      <c r="G537" s="256"/>
      <c r="H537" s="256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  <c r="AA537" s="256"/>
    </row>
    <row r="538">
      <c r="A538" s="256"/>
      <c r="B538" s="255"/>
      <c r="C538" s="256"/>
      <c r="D538" s="256"/>
      <c r="E538" s="256"/>
      <c r="F538" s="256"/>
      <c r="G538" s="256"/>
      <c r="H538" s="256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  <c r="AA538" s="256"/>
    </row>
    <row r="539">
      <c r="A539" s="256"/>
      <c r="B539" s="255"/>
      <c r="C539" s="256"/>
      <c r="D539" s="256"/>
      <c r="E539" s="256"/>
      <c r="F539" s="256"/>
      <c r="G539" s="256"/>
      <c r="H539" s="256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  <c r="AA539" s="256"/>
    </row>
    <row r="540">
      <c r="A540" s="256"/>
      <c r="B540" s="255"/>
      <c r="C540" s="256"/>
      <c r="D540" s="256"/>
      <c r="E540" s="256"/>
      <c r="F540" s="256"/>
      <c r="G540" s="256"/>
      <c r="H540" s="256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  <c r="AA540" s="256"/>
    </row>
    <row r="541">
      <c r="A541" s="256"/>
      <c r="B541" s="255"/>
      <c r="C541" s="256"/>
      <c r="D541" s="256"/>
      <c r="E541" s="256"/>
      <c r="F541" s="256"/>
      <c r="G541" s="256"/>
      <c r="H541" s="256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  <c r="AA541" s="256"/>
    </row>
    <row r="542">
      <c r="A542" s="256"/>
      <c r="B542" s="255"/>
      <c r="C542" s="256"/>
      <c r="D542" s="256"/>
      <c r="E542" s="256"/>
      <c r="F542" s="256"/>
      <c r="G542" s="256"/>
      <c r="H542" s="256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  <c r="AA542" s="256"/>
    </row>
    <row r="543">
      <c r="A543" s="256"/>
      <c r="B543" s="255"/>
      <c r="C543" s="256"/>
      <c r="D543" s="256"/>
      <c r="E543" s="256"/>
      <c r="F543" s="256"/>
      <c r="G543" s="256"/>
      <c r="H543" s="256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  <c r="AA543" s="256"/>
    </row>
    <row r="544">
      <c r="A544" s="256"/>
      <c r="B544" s="255"/>
      <c r="C544" s="256"/>
      <c r="D544" s="256"/>
      <c r="E544" s="256"/>
      <c r="F544" s="256"/>
      <c r="G544" s="256"/>
      <c r="H544" s="256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  <c r="AA544" s="256"/>
    </row>
    <row r="545">
      <c r="A545" s="256"/>
      <c r="B545" s="255"/>
      <c r="C545" s="256"/>
      <c r="D545" s="256"/>
      <c r="E545" s="256"/>
      <c r="F545" s="256"/>
      <c r="G545" s="256"/>
      <c r="H545" s="256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  <c r="AA545" s="256"/>
    </row>
    <row r="546">
      <c r="A546" s="256"/>
      <c r="B546" s="255"/>
      <c r="C546" s="256"/>
      <c r="D546" s="256"/>
      <c r="E546" s="256"/>
      <c r="F546" s="256"/>
      <c r="G546" s="256"/>
      <c r="H546" s="256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  <c r="AA546" s="256"/>
    </row>
    <row r="547">
      <c r="A547" s="256"/>
      <c r="B547" s="255"/>
      <c r="C547" s="256"/>
      <c r="D547" s="256"/>
      <c r="E547" s="256"/>
      <c r="F547" s="256"/>
      <c r="G547" s="256"/>
      <c r="H547" s="256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  <c r="AA547" s="256"/>
    </row>
    <row r="548">
      <c r="A548" s="256"/>
      <c r="B548" s="255"/>
      <c r="C548" s="256"/>
      <c r="D548" s="256"/>
      <c r="E548" s="256"/>
      <c r="F548" s="256"/>
      <c r="G548" s="256"/>
      <c r="H548" s="256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  <c r="AA548" s="256"/>
    </row>
    <row r="549">
      <c r="A549" s="256"/>
      <c r="B549" s="255"/>
      <c r="C549" s="256"/>
      <c r="D549" s="256"/>
      <c r="E549" s="256"/>
      <c r="F549" s="256"/>
      <c r="G549" s="256"/>
      <c r="H549" s="256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  <c r="AA549" s="256"/>
    </row>
    <row r="550">
      <c r="A550" s="256"/>
      <c r="B550" s="255"/>
      <c r="C550" s="256"/>
      <c r="D550" s="256"/>
      <c r="E550" s="256"/>
      <c r="F550" s="256"/>
      <c r="G550" s="256"/>
      <c r="H550" s="256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  <c r="AA550" s="256"/>
    </row>
    <row r="551">
      <c r="A551" s="256"/>
      <c r="B551" s="255"/>
      <c r="C551" s="256"/>
      <c r="D551" s="256"/>
      <c r="E551" s="256"/>
      <c r="F551" s="256"/>
      <c r="G551" s="256"/>
      <c r="H551" s="256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  <c r="AA551" s="256"/>
    </row>
    <row r="552">
      <c r="A552" s="256"/>
      <c r="B552" s="255"/>
      <c r="C552" s="256"/>
      <c r="D552" s="256"/>
      <c r="E552" s="256"/>
      <c r="F552" s="256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  <c r="AA552" s="256"/>
    </row>
    <row r="553">
      <c r="A553" s="256"/>
      <c r="B553" s="255"/>
      <c r="C553" s="256"/>
      <c r="D553" s="256"/>
      <c r="E553" s="256"/>
      <c r="F553" s="256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  <c r="AA553" s="256"/>
    </row>
    <row r="554">
      <c r="A554" s="256"/>
      <c r="B554" s="255"/>
      <c r="C554" s="256"/>
      <c r="D554" s="256"/>
      <c r="E554" s="256"/>
      <c r="F554" s="256"/>
      <c r="G554" s="256"/>
      <c r="H554" s="256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  <c r="AA554" s="256"/>
    </row>
    <row r="555">
      <c r="A555" s="256"/>
      <c r="B555" s="255"/>
      <c r="C555" s="256"/>
      <c r="D555" s="256"/>
      <c r="E555" s="256"/>
      <c r="F555" s="256"/>
      <c r="G555" s="256"/>
      <c r="H555" s="256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  <c r="AA555" s="256"/>
    </row>
    <row r="556">
      <c r="A556" s="256"/>
      <c r="B556" s="255"/>
      <c r="C556" s="256"/>
      <c r="D556" s="256"/>
      <c r="E556" s="256"/>
      <c r="F556" s="256"/>
      <c r="G556" s="256"/>
      <c r="H556" s="256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  <c r="AA556" s="256"/>
    </row>
    <row r="557">
      <c r="A557" s="256"/>
      <c r="B557" s="255"/>
      <c r="C557" s="256"/>
      <c r="D557" s="256"/>
      <c r="E557" s="256"/>
      <c r="F557" s="256"/>
      <c r="G557" s="256"/>
      <c r="H557" s="256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  <c r="AA557" s="256"/>
    </row>
    <row r="558">
      <c r="A558" s="256"/>
      <c r="B558" s="255"/>
      <c r="C558" s="256"/>
      <c r="D558" s="256"/>
      <c r="E558" s="256"/>
      <c r="F558" s="256"/>
      <c r="G558" s="256"/>
      <c r="H558" s="256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  <c r="AA558" s="256"/>
    </row>
    <row r="559">
      <c r="A559" s="256"/>
      <c r="B559" s="255"/>
      <c r="C559" s="256"/>
      <c r="D559" s="256"/>
      <c r="E559" s="256"/>
      <c r="F559" s="256"/>
      <c r="G559" s="256"/>
      <c r="H559" s="256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  <c r="AA559" s="256"/>
    </row>
    <row r="560">
      <c r="A560" s="256"/>
      <c r="B560" s="255"/>
      <c r="C560" s="256"/>
      <c r="D560" s="256"/>
      <c r="E560" s="256"/>
      <c r="F560" s="256"/>
      <c r="G560" s="256"/>
      <c r="H560" s="256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  <c r="AA560" s="256"/>
    </row>
    <row r="561">
      <c r="A561" s="256"/>
      <c r="B561" s="255"/>
      <c r="C561" s="256"/>
      <c r="D561" s="256"/>
      <c r="E561" s="256"/>
      <c r="F561" s="256"/>
      <c r="G561" s="256"/>
      <c r="H561" s="256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  <c r="AA561" s="256"/>
    </row>
    <row r="562">
      <c r="A562" s="256"/>
      <c r="B562" s="255"/>
      <c r="C562" s="256"/>
      <c r="D562" s="256"/>
      <c r="E562" s="256"/>
      <c r="F562" s="256"/>
      <c r="G562" s="256"/>
      <c r="H562" s="256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  <c r="AA562" s="256"/>
    </row>
    <row r="563">
      <c r="A563" s="256"/>
      <c r="B563" s="255"/>
      <c r="C563" s="256"/>
      <c r="D563" s="256"/>
      <c r="E563" s="256"/>
      <c r="F563" s="256"/>
      <c r="G563" s="256"/>
      <c r="H563" s="256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  <c r="AA563" s="256"/>
    </row>
    <row r="564">
      <c r="A564" s="256"/>
      <c r="B564" s="255"/>
      <c r="C564" s="256"/>
      <c r="D564" s="256"/>
      <c r="E564" s="256"/>
      <c r="F564" s="256"/>
      <c r="G564" s="256"/>
      <c r="H564" s="256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  <c r="AA564" s="256"/>
    </row>
    <row r="565">
      <c r="A565" s="256"/>
      <c r="B565" s="255"/>
      <c r="C565" s="256"/>
      <c r="D565" s="256"/>
      <c r="E565" s="256"/>
      <c r="F565" s="256"/>
      <c r="G565" s="256"/>
      <c r="H565" s="256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  <c r="AA565" s="256"/>
    </row>
    <row r="566">
      <c r="A566" s="256"/>
      <c r="B566" s="255"/>
      <c r="C566" s="256"/>
      <c r="D566" s="256"/>
      <c r="E566" s="256"/>
      <c r="F566" s="256"/>
      <c r="G566" s="256"/>
      <c r="H566" s="256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  <c r="AA566" s="256"/>
    </row>
    <row r="567">
      <c r="A567" s="256"/>
      <c r="B567" s="255"/>
      <c r="C567" s="256"/>
      <c r="D567" s="256"/>
      <c r="E567" s="256"/>
      <c r="F567" s="256"/>
      <c r="G567" s="256"/>
      <c r="H567" s="256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  <c r="AA567" s="256"/>
    </row>
    <row r="568">
      <c r="A568" s="256"/>
      <c r="B568" s="255"/>
      <c r="C568" s="256"/>
      <c r="D568" s="256"/>
      <c r="E568" s="256"/>
      <c r="F568" s="256"/>
      <c r="G568" s="256"/>
      <c r="H568" s="256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  <c r="AA568" s="256"/>
    </row>
    <row r="569">
      <c r="A569" s="256"/>
      <c r="B569" s="255"/>
      <c r="C569" s="256"/>
      <c r="D569" s="256"/>
      <c r="E569" s="256"/>
      <c r="F569" s="256"/>
      <c r="G569" s="256"/>
      <c r="H569" s="256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  <c r="AA569" s="256"/>
    </row>
    <row r="570">
      <c r="A570" s="256"/>
      <c r="B570" s="255"/>
      <c r="C570" s="256"/>
      <c r="D570" s="256"/>
      <c r="E570" s="256"/>
      <c r="F570" s="256"/>
      <c r="G570" s="256"/>
      <c r="H570" s="256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  <c r="AA570" s="256"/>
    </row>
    <row r="571">
      <c r="A571" s="256"/>
      <c r="B571" s="255"/>
      <c r="C571" s="256"/>
      <c r="D571" s="256"/>
      <c r="E571" s="256"/>
      <c r="F571" s="256"/>
      <c r="G571" s="256"/>
      <c r="H571" s="256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  <c r="AA571" s="256"/>
    </row>
    <row r="572">
      <c r="A572" s="256"/>
      <c r="B572" s="255"/>
      <c r="C572" s="256"/>
      <c r="D572" s="256"/>
      <c r="E572" s="256"/>
      <c r="F572" s="256"/>
      <c r="G572" s="256"/>
      <c r="H572" s="256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  <c r="AA572" s="256"/>
    </row>
    <row r="573">
      <c r="A573" s="256"/>
      <c r="B573" s="255"/>
      <c r="C573" s="256"/>
      <c r="D573" s="256"/>
      <c r="E573" s="256"/>
      <c r="F573" s="256"/>
      <c r="G573" s="256"/>
      <c r="H573" s="256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  <c r="AA573" s="256"/>
    </row>
    <row r="574">
      <c r="A574" s="256"/>
      <c r="B574" s="255"/>
      <c r="C574" s="256"/>
      <c r="D574" s="256"/>
      <c r="E574" s="256"/>
      <c r="F574" s="256"/>
      <c r="G574" s="256"/>
      <c r="H574" s="256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  <c r="AA574" s="256"/>
    </row>
    <row r="575">
      <c r="A575" s="256"/>
      <c r="B575" s="255"/>
      <c r="C575" s="256"/>
      <c r="D575" s="256"/>
      <c r="E575" s="256"/>
      <c r="F575" s="256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  <c r="AA575" s="256"/>
    </row>
    <row r="576">
      <c r="A576" s="256"/>
      <c r="B576" s="255"/>
      <c r="C576" s="256"/>
      <c r="D576" s="256"/>
      <c r="E576" s="256"/>
      <c r="F576" s="256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  <c r="AA576" s="256"/>
    </row>
    <row r="577">
      <c r="A577" s="256"/>
      <c r="B577" s="255"/>
      <c r="C577" s="256"/>
      <c r="D577" s="256"/>
      <c r="E577" s="256"/>
      <c r="F577" s="256"/>
      <c r="G577" s="256"/>
      <c r="H577" s="256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  <c r="AA577" s="256"/>
    </row>
    <row r="578">
      <c r="A578" s="256"/>
      <c r="B578" s="255"/>
      <c r="C578" s="256"/>
      <c r="D578" s="256"/>
      <c r="E578" s="256"/>
      <c r="F578" s="256"/>
      <c r="G578" s="256"/>
      <c r="H578" s="256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  <c r="AA578" s="256"/>
    </row>
    <row r="579">
      <c r="A579" s="256"/>
      <c r="B579" s="255"/>
      <c r="C579" s="256"/>
      <c r="D579" s="256"/>
      <c r="E579" s="256"/>
      <c r="F579" s="256"/>
      <c r="G579" s="256"/>
      <c r="H579" s="256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  <c r="AA579" s="256"/>
    </row>
    <row r="580">
      <c r="A580" s="256"/>
      <c r="B580" s="255"/>
      <c r="C580" s="256"/>
      <c r="D580" s="256"/>
      <c r="E580" s="256"/>
      <c r="F580" s="256"/>
      <c r="G580" s="256"/>
      <c r="H580" s="256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  <c r="AA580" s="256"/>
    </row>
    <row r="581">
      <c r="A581" s="256"/>
      <c r="B581" s="255"/>
      <c r="C581" s="256"/>
      <c r="D581" s="256"/>
      <c r="E581" s="256"/>
      <c r="F581" s="256"/>
      <c r="G581" s="256"/>
      <c r="H581" s="256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  <c r="AA581" s="256"/>
    </row>
    <row r="582">
      <c r="A582" s="256"/>
      <c r="B582" s="255"/>
      <c r="C582" s="256"/>
      <c r="D582" s="256"/>
      <c r="E582" s="256"/>
      <c r="F582" s="256"/>
      <c r="G582" s="256"/>
      <c r="H582" s="256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  <c r="AA582" s="256"/>
    </row>
    <row r="583">
      <c r="A583" s="256"/>
      <c r="B583" s="255"/>
      <c r="C583" s="256"/>
      <c r="D583" s="256"/>
      <c r="E583" s="256"/>
      <c r="F583" s="256"/>
      <c r="G583" s="256"/>
      <c r="H583" s="256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  <c r="AA583" s="256"/>
    </row>
    <row r="584">
      <c r="A584" s="256"/>
      <c r="B584" s="255"/>
      <c r="C584" s="256"/>
      <c r="D584" s="256"/>
      <c r="E584" s="256"/>
      <c r="F584" s="256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  <c r="AA584" s="256"/>
    </row>
    <row r="585">
      <c r="A585" s="256"/>
      <c r="B585" s="255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  <c r="AA585" s="256"/>
    </row>
    <row r="586">
      <c r="A586" s="256"/>
      <c r="B586" s="255"/>
      <c r="C586" s="256"/>
      <c r="D586" s="256"/>
      <c r="E586" s="256"/>
      <c r="F586" s="256"/>
      <c r="G586" s="256"/>
      <c r="H586" s="256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  <c r="AA586" s="256"/>
    </row>
    <row r="587">
      <c r="A587" s="256"/>
      <c r="B587" s="255"/>
      <c r="C587" s="256"/>
      <c r="D587" s="256"/>
      <c r="E587" s="256"/>
      <c r="F587" s="256"/>
      <c r="G587" s="256"/>
      <c r="H587" s="256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  <c r="AA587" s="256"/>
    </row>
    <row r="588">
      <c r="A588" s="256"/>
      <c r="B588" s="255"/>
      <c r="C588" s="256"/>
      <c r="D588" s="256"/>
      <c r="E588" s="256"/>
      <c r="F588" s="256"/>
      <c r="G588" s="256"/>
      <c r="H588" s="256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  <c r="AA588" s="256"/>
    </row>
    <row r="589">
      <c r="A589" s="256"/>
      <c r="B589" s="255"/>
      <c r="C589" s="256"/>
      <c r="D589" s="256"/>
      <c r="E589" s="256"/>
      <c r="F589" s="256"/>
      <c r="G589" s="256"/>
      <c r="H589" s="256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  <c r="AA589" s="256"/>
    </row>
    <row r="590">
      <c r="A590" s="256"/>
      <c r="B590" s="255"/>
      <c r="C590" s="256"/>
      <c r="D590" s="256"/>
      <c r="E590" s="256"/>
      <c r="F590" s="256"/>
      <c r="G590" s="256"/>
      <c r="H590" s="256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  <c r="AA590" s="256"/>
    </row>
    <row r="591">
      <c r="A591" s="256"/>
      <c r="B591" s="255"/>
      <c r="C591" s="256"/>
      <c r="D591" s="256"/>
      <c r="E591" s="256"/>
      <c r="F591" s="256"/>
      <c r="G591" s="256"/>
      <c r="H591" s="256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  <c r="AA591" s="256"/>
    </row>
    <row r="592">
      <c r="A592" s="256"/>
      <c r="B592" s="255"/>
      <c r="C592" s="256"/>
      <c r="D592" s="256"/>
      <c r="E592" s="256"/>
      <c r="F592" s="256"/>
      <c r="G592" s="256"/>
      <c r="H592" s="256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  <c r="AA592" s="256"/>
    </row>
    <row r="593">
      <c r="A593" s="256"/>
      <c r="B593" s="255"/>
      <c r="C593" s="256"/>
      <c r="D593" s="256"/>
      <c r="E593" s="256"/>
      <c r="F593" s="256"/>
      <c r="G593" s="256"/>
      <c r="H593" s="256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  <c r="AA593" s="256"/>
    </row>
    <row r="594">
      <c r="A594" s="256"/>
      <c r="B594" s="255"/>
      <c r="C594" s="256"/>
      <c r="D594" s="256"/>
      <c r="E594" s="256"/>
      <c r="F594" s="256"/>
      <c r="G594" s="256"/>
      <c r="H594" s="256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  <c r="AA594" s="256"/>
    </row>
    <row r="595">
      <c r="A595" s="256"/>
      <c r="B595" s="255"/>
      <c r="C595" s="256"/>
      <c r="D595" s="256"/>
      <c r="E595" s="256"/>
      <c r="F595" s="256"/>
      <c r="G595" s="256"/>
      <c r="H595" s="256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  <c r="AA595" s="256"/>
    </row>
    <row r="596">
      <c r="A596" s="256"/>
      <c r="B596" s="255"/>
      <c r="C596" s="256"/>
      <c r="D596" s="256"/>
      <c r="E596" s="256"/>
      <c r="F596" s="256"/>
      <c r="G596" s="256"/>
      <c r="H596" s="256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  <c r="AA596" s="256"/>
    </row>
    <row r="597">
      <c r="A597" s="256"/>
      <c r="B597" s="255"/>
      <c r="C597" s="256"/>
      <c r="D597" s="256"/>
      <c r="E597" s="256"/>
      <c r="F597" s="256"/>
      <c r="G597" s="256"/>
      <c r="H597" s="256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  <c r="AA597" s="256"/>
    </row>
    <row r="598">
      <c r="A598" s="256"/>
      <c r="B598" s="255"/>
      <c r="C598" s="256"/>
      <c r="D598" s="256"/>
      <c r="E598" s="256"/>
      <c r="F598" s="256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  <c r="AA598" s="256"/>
    </row>
    <row r="599">
      <c r="A599" s="256"/>
      <c r="B599" s="255"/>
      <c r="C599" s="256"/>
      <c r="D599" s="256"/>
      <c r="E599" s="256"/>
      <c r="F599" s="256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  <c r="AA599" s="256"/>
    </row>
    <row r="600">
      <c r="A600" s="256"/>
      <c r="B600" s="255"/>
      <c r="C600" s="256"/>
      <c r="D600" s="256"/>
      <c r="E600" s="256"/>
      <c r="F600" s="256"/>
      <c r="G600" s="256"/>
      <c r="H600" s="256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  <c r="AA600" s="256"/>
    </row>
    <row r="601">
      <c r="A601" s="256"/>
      <c r="B601" s="255"/>
      <c r="C601" s="256"/>
      <c r="D601" s="256"/>
      <c r="E601" s="256"/>
      <c r="F601" s="256"/>
      <c r="G601" s="256"/>
      <c r="H601" s="256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  <c r="AA601" s="256"/>
    </row>
    <row r="602">
      <c r="A602" s="256"/>
      <c r="B602" s="255"/>
      <c r="C602" s="256"/>
      <c r="D602" s="256"/>
      <c r="E602" s="256"/>
      <c r="F602" s="256"/>
      <c r="G602" s="256"/>
      <c r="H602" s="256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  <c r="AA602" s="256"/>
    </row>
    <row r="603">
      <c r="A603" s="256"/>
      <c r="B603" s="255"/>
      <c r="C603" s="256"/>
      <c r="D603" s="256"/>
      <c r="E603" s="256"/>
      <c r="F603" s="256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  <c r="AA603" s="256"/>
    </row>
    <row r="604">
      <c r="A604" s="256"/>
      <c r="B604" s="255"/>
      <c r="C604" s="256"/>
      <c r="D604" s="256"/>
      <c r="E604" s="256"/>
      <c r="F604" s="256"/>
      <c r="G604" s="256"/>
      <c r="H604" s="256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  <c r="AA604" s="256"/>
    </row>
    <row r="605">
      <c r="A605" s="256"/>
      <c r="B605" s="255"/>
      <c r="C605" s="256"/>
      <c r="D605" s="256"/>
      <c r="E605" s="256"/>
      <c r="F605" s="256"/>
      <c r="G605" s="256"/>
      <c r="H605" s="256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  <c r="AA605" s="256"/>
    </row>
    <row r="606">
      <c r="A606" s="256"/>
      <c r="B606" s="255"/>
      <c r="C606" s="256"/>
      <c r="D606" s="256"/>
      <c r="E606" s="256"/>
      <c r="F606" s="256"/>
      <c r="G606" s="256"/>
      <c r="H606" s="256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  <c r="AA606" s="256"/>
    </row>
    <row r="607">
      <c r="A607" s="256"/>
      <c r="B607" s="255"/>
      <c r="C607" s="256"/>
      <c r="D607" s="256"/>
      <c r="E607" s="256"/>
      <c r="F607" s="256"/>
      <c r="G607" s="256"/>
      <c r="H607" s="256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  <c r="AA607" s="256"/>
    </row>
    <row r="608">
      <c r="A608" s="256"/>
      <c r="B608" s="255"/>
      <c r="C608" s="256"/>
      <c r="D608" s="256"/>
      <c r="E608" s="256"/>
      <c r="F608" s="256"/>
      <c r="G608" s="256"/>
      <c r="H608" s="256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  <c r="AA608" s="256"/>
    </row>
    <row r="609">
      <c r="A609" s="256"/>
      <c r="B609" s="255"/>
      <c r="C609" s="256"/>
      <c r="D609" s="256"/>
      <c r="E609" s="256"/>
      <c r="F609" s="256"/>
      <c r="G609" s="256"/>
      <c r="H609" s="256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  <c r="AA609" s="256"/>
    </row>
    <row r="610">
      <c r="A610" s="256"/>
      <c r="B610" s="255"/>
      <c r="C610" s="256"/>
      <c r="D610" s="256"/>
      <c r="E610" s="256"/>
      <c r="F610" s="256"/>
      <c r="G610" s="256"/>
      <c r="H610" s="256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  <c r="AA610" s="256"/>
    </row>
    <row r="611">
      <c r="A611" s="256"/>
      <c r="B611" s="255"/>
      <c r="C611" s="256"/>
      <c r="D611" s="256"/>
      <c r="E611" s="256"/>
      <c r="F611" s="256"/>
      <c r="G611" s="256"/>
      <c r="H611" s="256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  <c r="AA611" s="256"/>
    </row>
    <row r="612">
      <c r="A612" s="256"/>
      <c r="B612" s="255"/>
      <c r="C612" s="256"/>
      <c r="D612" s="256"/>
      <c r="E612" s="256"/>
      <c r="F612" s="256"/>
      <c r="G612" s="256"/>
      <c r="H612" s="256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  <c r="AA612" s="256"/>
    </row>
    <row r="613">
      <c r="A613" s="256"/>
      <c r="B613" s="255"/>
      <c r="C613" s="256"/>
      <c r="D613" s="256"/>
      <c r="E613" s="256"/>
      <c r="F613" s="256"/>
      <c r="G613" s="256"/>
      <c r="H613" s="256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  <c r="AA613" s="256"/>
    </row>
    <row r="614">
      <c r="A614" s="256"/>
      <c r="B614" s="255"/>
      <c r="C614" s="256"/>
      <c r="D614" s="256"/>
      <c r="E614" s="256"/>
      <c r="F614" s="256"/>
      <c r="G614" s="256"/>
      <c r="H614" s="256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  <c r="AA614" s="256"/>
    </row>
    <row r="615">
      <c r="A615" s="256"/>
      <c r="B615" s="255"/>
      <c r="C615" s="256"/>
      <c r="D615" s="256"/>
      <c r="E615" s="256"/>
      <c r="F615" s="256"/>
      <c r="G615" s="256"/>
      <c r="H615" s="256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  <c r="AA615" s="256"/>
    </row>
    <row r="616">
      <c r="A616" s="256"/>
      <c r="B616" s="255"/>
      <c r="C616" s="256"/>
      <c r="D616" s="256"/>
      <c r="E616" s="256"/>
      <c r="F616" s="256"/>
      <c r="G616" s="256"/>
      <c r="H616" s="256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  <c r="AA616" s="256"/>
    </row>
    <row r="617">
      <c r="A617" s="256"/>
      <c r="B617" s="255"/>
      <c r="C617" s="256"/>
      <c r="D617" s="256"/>
      <c r="E617" s="256"/>
      <c r="F617" s="256"/>
      <c r="G617" s="256"/>
      <c r="H617" s="256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  <c r="AA617" s="256"/>
    </row>
    <row r="618">
      <c r="A618" s="256"/>
      <c r="B618" s="255"/>
      <c r="C618" s="256"/>
      <c r="D618" s="256"/>
      <c r="E618" s="256"/>
      <c r="F618" s="256"/>
      <c r="G618" s="256"/>
      <c r="H618" s="256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  <c r="AA618" s="256"/>
    </row>
    <row r="619">
      <c r="A619" s="256"/>
      <c r="B619" s="255"/>
      <c r="C619" s="256"/>
      <c r="D619" s="256"/>
      <c r="E619" s="256"/>
      <c r="F619" s="256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  <c r="AA619" s="256"/>
    </row>
    <row r="620">
      <c r="A620" s="256"/>
      <c r="B620" s="255"/>
      <c r="C620" s="256"/>
      <c r="D620" s="256"/>
      <c r="E620" s="256"/>
      <c r="F620" s="256"/>
      <c r="G620" s="256"/>
      <c r="H620" s="256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  <c r="AA620" s="256"/>
    </row>
    <row r="621">
      <c r="A621" s="256"/>
      <c r="B621" s="255"/>
      <c r="C621" s="256"/>
      <c r="D621" s="256"/>
      <c r="E621" s="256"/>
      <c r="F621" s="256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  <c r="AA621" s="256"/>
    </row>
    <row r="622">
      <c r="A622" s="256"/>
      <c r="B622" s="255"/>
      <c r="C622" s="256"/>
      <c r="D622" s="256"/>
      <c r="E622" s="256"/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  <c r="AA622" s="256"/>
    </row>
    <row r="623">
      <c r="A623" s="256"/>
      <c r="B623" s="255"/>
      <c r="C623" s="256"/>
      <c r="D623" s="256"/>
      <c r="E623" s="256"/>
      <c r="F623" s="256"/>
      <c r="G623" s="256"/>
      <c r="H623" s="256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  <c r="AA623" s="256"/>
    </row>
    <row r="624">
      <c r="A624" s="256"/>
      <c r="B624" s="255"/>
      <c r="C624" s="256"/>
      <c r="D624" s="256"/>
      <c r="E624" s="256"/>
      <c r="F624" s="256"/>
      <c r="G624" s="256"/>
      <c r="H624" s="256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  <c r="AA624" s="256"/>
    </row>
    <row r="625">
      <c r="A625" s="256"/>
      <c r="B625" s="255"/>
      <c r="C625" s="256"/>
      <c r="D625" s="256"/>
      <c r="E625" s="256"/>
      <c r="F625" s="256"/>
      <c r="G625" s="256"/>
      <c r="H625" s="256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  <c r="AA625" s="256"/>
    </row>
    <row r="626">
      <c r="A626" s="256"/>
      <c r="B626" s="255"/>
      <c r="C626" s="256"/>
      <c r="D626" s="256"/>
      <c r="E626" s="256"/>
      <c r="F626" s="256"/>
      <c r="G626" s="256"/>
      <c r="H626" s="256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  <c r="AA626" s="256"/>
    </row>
    <row r="627">
      <c r="A627" s="256"/>
      <c r="B627" s="255"/>
      <c r="C627" s="256"/>
      <c r="D627" s="256"/>
      <c r="E627" s="256"/>
      <c r="F627" s="256"/>
      <c r="G627" s="256"/>
      <c r="H627" s="256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  <c r="AA627" s="256"/>
    </row>
    <row r="628">
      <c r="A628" s="256"/>
      <c r="B628" s="255"/>
      <c r="C628" s="256"/>
      <c r="D628" s="256"/>
      <c r="E628" s="256"/>
      <c r="F628" s="256"/>
      <c r="G628" s="256"/>
      <c r="H628" s="256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  <c r="AA628" s="256"/>
    </row>
    <row r="629">
      <c r="A629" s="256"/>
      <c r="B629" s="255"/>
      <c r="C629" s="256"/>
      <c r="D629" s="256"/>
      <c r="E629" s="256"/>
      <c r="F629" s="256"/>
      <c r="G629" s="256"/>
      <c r="H629" s="256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  <c r="AA629" s="256"/>
    </row>
    <row r="630">
      <c r="A630" s="256"/>
      <c r="B630" s="255"/>
      <c r="C630" s="256"/>
      <c r="D630" s="256"/>
      <c r="E630" s="256"/>
      <c r="F630" s="256"/>
      <c r="G630" s="256"/>
      <c r="H630" s="256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  <c r="AA630" s="256"/>
    </row>
    <row r="631">
      <c r="A631" s="256"/>
      <c r="B631" s="255"/>
      <c r="C631" s="256"/>
      <c r="D631" s="256"/>
      <c r="E631" s="256"/>
      <c r="F631" s="256"/>
      <c r="G631" s="256"/>
      <c r="H631" s="256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  <c r="AA631" s="256"/>
    </row>
    <row r="632">
      <c r="A632" s="256"/>
      <c r="B632" s="255"/>
      <c r="C632" s="256"/>
      <c r="D632" s="256"/>
      <c r="E632" s="256"/>
      <c r="F632" s="256"/>
      <c r="G632" s="256"/>
      <c r="H632" s="256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  <c r="AA632" s="256"/>
    </row>
    <row r="633">
      <c r="A633" s="256"/>
      <c r="B633" s="255"/>
      <c r="C633" s="256"/>
      <c r="D633" s="256"/>
      <c r="E633" s="256"/>
      <c r="F633" s="256"/>
      <c r="G633" s="256"/>
      <c r="H633" s="256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  <c r="AA633" s="256"/>
    </row>
    <row r="634">
      <c r="A634" s="256"/>
      <c r="B634" s="255"/>
      <c r="C634" s="256"/>
      <c r="D634" s="256"/>
      <c r="E634" s="256"/>
      <c r="F634" s="256"/>
      <c r="G634" s="256"/>
      <c r="H634" s="256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  <c r="AA634" s="256"/>
    </row>
    <row r="635">
      <c r="A635" s="256"/>
      <c r="B635" s="255"/>
      <c r="C635" s="256"/>
      <c r="D635" s="256"/>
      <c r="E635" s="256"/>
      <c r="F635" s="256"/>
      <c r="G635" s="256"/>
      <c r="H635" s="256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  <c r="AA635" s="256"/>
    </row>
    <row r="636">
      <c r="A636" s="256"/>
      <c r="B636" s="255"/>
      <c r="C636" s="256"/>
      <c r="D636" s="256"/>
      <c r="E636" s="256"/>
      <c r="F636" s="256"/>
      <c r="G636" s="256"/>
      <c r="H636" s="256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  <c r="AA636" s="256"/>
    </row>
    <row r="637">
      <c r="A637" s="256"/>
      <c r="B637" s="255"/>
      <c r="C637" s="256"/>
      <c r="D637" s="256"/>
      <c r="E637" s="256"/>
      <c r="F637" s="256"/>
      <c r="G637" s="256"/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  <c r="AA637" s="256"/>
    </row>
    <row r="638">
      <c r="A638" s="256"/>
      <c r="B638" s="255"/>
      <c r="C638" s="256"/>
      <c r="D638" s="256"/>
      <c r="E638" s="256"/>
      <c r="F638" s="256"/>
      <c r="G638" s="256"/>
      <c r="H638" s="256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  <c r="AA638" s="256"/>
    </row>
    <row r="639">
      <c r="A639" s="256"/>
      <c r="B639" s="255"/>
      <c r="C639" s="256"/>
      <c r="D639" s="256"/>
      <c r="E639" s="256"/>
      <c r="F639" s="256"/>
      <c r="G639" s="256"/>
      <c r="H639" s="256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  <c r="AA639" s="256"/>
    </row>
    <row r="640">
      <c r="A640" s="256"/>
      <c r="B640" s="255"/>
      <c r="C640" s="256"/>
      <c r="D640" s="256"/>
      <c r="E640" s="256"/>
      <c r="F640" s="256"/>
      <c r="G640" s="256"/>
      <c r="H640" s="256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  <c r="AA640" s="256"/>
    </row>
    <row r="641">
      <c r="A641" s="256"/>
      <c r="B641" s="255"/>
      <c r="C641" s="256"/>
      <c r="D641" s="256"/>
      <c r="E641" s="256"/>
      <c r="F641" s="256"/>
      <c r="G641" s="256"/>
      <c r="H641" s="256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  <c r="AA641" s="256"/>
    </row>
    <row r="642">
      <c r="A642" s="256"/>
      <c r="B642" s="255"/>
      <c r="C642" s="256"/>
      <c r="D642" s="256"/>
      <c r="E642" s="256"/>
      <c r="F642" s="256"/>
      <c r="G642" s="256"/>
      <c r="H642" s="256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  <c r="AA642" s="256"/>
    </row>
    <row r="643">
      <c r="A643" s="256"/>
      <c r="B643" s="255"/>
      <c r="C643" s="256"/>
      <c r="D643" s="256"/>
      <c r="E643" s="256"/>
      <c r="F643" s="256"/>
      <c r="G643" s="256"/>
      <c r="H643" s="256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  <c r="AA643" s="256"/>
    </row>
    <row r="644">
      <c r="A644" s="256"/>
      <c r="B644" s="255"/>
      <c r="C644" s="256"/>
      <c r="D644" s="256"/>
      <c r="E644" s="256"/>
      <c r="F644" s="256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  <c r="AA644" s="256"/>
    </row>
    <row r="645">
      <c r="A645" s="256"/>
      <c r="B645" s="255"/>
      <c r="C645" s="256"/>
      <c r="D645" s="256"/>
      <c r="E645" s="256"/>
      <c r="F645" s="256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  <c r="AA645" s="256"/>
    </row>
    <row r="646">
      <c r="A646" s="256"/>
      <c r="B646" s="255"/>
      <c r="C646" s="256"/>
      <c r="D646" s="256"/>
      <c r="E646" s="256"/>
      <c r="F646" s="256"/>
      <c r="G646" s="256"/>
      <c r="H646" s="256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  <c r="AA646" s="256"/>
    </row>
    <row r="647">
      <c r="A647" s="256"/>
      <c r="B647" s="255"/>
      <c r="C647" s="256"/>
      <c r="D647" s="256"/>
      <c r="E647" s="256"/>
      <c r="F647" s="256"/>
      <c r="G647" s="256"/>
      <c r="H647" s="256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  <c r="AA647" s="256"/>
    </row>
    <row r="648">
      <c r="A648" s="256"/>
      <c r="B648" s="255"/>
      <c r="C648" s="256"/>
      <c r="D648" s="256"/>
      <c r="E648" s="256"/>
      <c r="F648" s="256"/>
      <c r="G648" s="256"/>
      <c r="H648" s="256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  <c r="AA648" s="256"/>
    </row>
    <row r="649">
      <c r="A649" s="256"/>
      <c r="B649" s="255"/>
      <c r="C649" s="256"/>
      <c r="D649" s="256"/>
      <c r="E649" s="256"/>
      <c r="F649" s="256"/>
      <c r="G649" s="256"/>
      <c r="H649" s="256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  <c r="AA649" s="256"/>
    </row>
    <row r="650">
      <c r="A650" s="256"/>
      <c r="B650" s="255"/>
      <c r="C650" s="256"/>
      <c r="D650" s="256"/>
      <c r="E650" s="256"/>
      <c r="F650" s="256"/>
      <c r="G650" s="256"/>
      <c r="H650" s="256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  <c r="AA650" s="256"/>
    </row>
    <row r="651">
      <c r="A651" s="256"/>
      <c r="B651" s="255"/>
      <c r="C651" s="256"/>
      <c r="D651" s="256"/>
      <c r="E651" s="256"/>
      <c r="F651" s="256"/>
      <c r="G651" s="256"/>
      <c r="H651" s="256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  <c r="AA651" s="256"/>
    </row>
    <row r="652">
      <c r="A652" s="256"/>
      <c r="B652" s="255"/>
      <c r="C652" s="256"/>
      <c r="D652" s="256"/>
      <c r="E652" s="256"/>
      <c r="F652" s="256"/>
      <c r="G652" s="256"/>
      <c r="H652" s="256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  <c r="AA652" s="256"/>
    </row>
    <row r="653">
      <c r="A653" s="256"/>
      <c r="B653" s="255"/>
      <c r="C653" s="256"/>
      <c r="D653" s="256"/>
      <c r="E653" s="256"/>
      <c r="F653" s="256"/>
      <c r="G653" s="256"/>
      <c r="H653" s="256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  <c r="AA653" s="256"/>
    </row>
    <row r="654">
      <c r="A654" s="256"/>
      <c r="B654" s="255"/>
      <c r="C654" s="256"/>
      <c r="D654" s="256"/>
      <c r="E654" s="256"/>
      <c r="F654" s="256"/>
      <c r="G654" s="256"/>
      <c r="H654" s="256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  <c r="AA654" s="256"/>
    </row>
    <row r="655">
      <c r="A655" s="256"/>
      <c r="B655" s="255"/>
      <c r="C655" s="256"/>
      <c r="D655" s="256"/>
      <c r="E655" s="256"/>
      <c r="F655" s="256"/>
      <c r="G655" s="256"/>
      <c r="H655" s="256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  <c r="AA655" s="256"/>
    </row>
    <row r="656">
      <c r="A656" s="256"/>
      <c r="B656" s="255"/>
      <c r="C656" s="256"/>
      <c r="D656" s="256"/>
      <c r="E656" s="256"/>
      <c r="F656" s="256"/>
      <c r="G656" s="256"/>
      <c r="H656" s="256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  <c r="AA656" s="256"/>
    </row>
    <row r="657">
      <c r="A657" s="256"/>
      <c r="B657" s="255"/>
      <c r="C657" s="256"/>
      <c r="D657" s="256"/>
      <c r="E657" s="256"/>
      <c r="F657" s="256"/>
      <c r="G657" s="256"/>
      <c r="H657" s="256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  <c r="AA657" s="256"/>
    </row>
    <row r="658">
      <c r="A658" s="256"/>
      <c r="B658" s="255"/>
      <c r="C658" s="256"/>
      <c r="D658" s="256"/>
      <c r="E658" s="256"/>
      <c r="F658" s="256"/>
      <c r="G658" s="256"/>
      <c r="H658" s="256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  <c r="AA658" s="256"/>
    </row>
    <row r="659">
      <c r="A659" s="256"/>
      <c r="B659" s="255"/>
      <c r="C659" s="256"/>
      <c r="D659" s="256"/>
      <c r="E659" s="256"/>
      <c r="F659" s="256"/>
      <c r="G659" s="256"/>
      <c r="H659" s="256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  <c r="AA659" s="256"/>
    </row>
    <row r="660">
      <c r="A660" s="256"/>
      <c r="B660" s="255"/>
      <c r="C660" s="256"/>
      <c r="D660" s="256"/>
      <c r="E660" s="256"/>
      <c r="F660" s="256"/>
      <c r="G660" s="256"/>
      <c r="H660" s="256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  <c r="AA660" s="256"/>
    </row>
    <row r="661">
      <c r="A661" s="256"/>
      <c r="B661" s="255"/>
      <c r="C661" s="256"/>
      <c r="D661" s="256"/>
      <c r="E661" s="256"/>
      <c r="F661" s="256"/>
      <c r="G661" s="256"/>
      <c r="H661" s="256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  <c r="AA661" s="256"/>
    </row>
    <row r="662">
      <c r="A662" s="256"/>
      <c r="B662" s="255"/>
      <c r="C662" s="256"/>
      <c r="D662" s="256"/>
      <c r="E662" s="256"/>
      <c r="F662" s="256"/>
      <c r="G662" s="256"/>
      <c r="H662" s="256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  <c r="AA662" s="256"/>
    </row>
    <row r="663">
      <c r="A663" s="256"/>
      <c r="B663" s="255"/>
      <c r="C663" s="256"/>
      <c r="D663" s="256"/>
      <c r="E663" s="256"/>
      <c r="F663" s="256"/>
      <c r="G663" s="256"/>
      <c r="H663" s="256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  <c r="AA663" s="256"/>
    </row>
    <row r="664">
      <c r="A664" s="256"/>
      <c r="B664" s="255"/>
      <c r="C664" s="256"/>
      <c r="D664" s="256"/>
      <c r="E664" s="256"/>
      <c r="F664" s="256"/>
      <c r="G664" s="256"/>
      <c r="H664" s="256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  <c r="AA664" s="256"/>
    </row>
    <row r="665">
      <c r="A665" s="256"/>
      <c r="B665" s="255"/>
      <c r="C665" s="256"/>
      <c r="D665" s="256"/>
      <c r="E665" s="256"/>
      <c r="F665" s="256"/>
      <c r="G665" s="256"/>
      <c r="H665" s="256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  <c r="AA665" s="256"/>
    </row>
    <row r="666">
      <c r="A666" s="256"/>
      <c r="B666" s="255"/>
      <c r="C666" s="256"/>
      <c r="D666" s="256"/>
      <c r="E666" s="256"/>
      <c r="F666" s="256"/>
      <c r="G666" s="256"/>
      <c r="H666" s="256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  <c r="AA666" s="256"/>
    </row>
    <row r="667">
      <c r="A667" s="256"/>
      <c r="B667" s="255"/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  <c r="AA667" s="256"/>
    </row>
    <row r="668">
      <c r="A668" s="256"/>
      <c r="B668" s="255"/>
      <c r="C668" s="256"/>
      <c r="D668" s="256"/>
      <c r="E668" s="256"/>
      <c r="F668" s="256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  <c r="AA668" s="256"/>
    </row>
    <row r="669">
      <c r="A669" s="256"/>
      <c r="B669" s="255"/>
      <c r="C669" s="256"/>
      <c r="D669" s="256"/>
      <c r="E669" s="256"/>
      <c r="F669" s="256"/>
      <c r="G669" s="256"/>
      <c r="H669" s="256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  <c r="AA669" s="256"/>
    </row>
    <row r="670">
      <c r="A670" s="256"/>
      <c r="B670" s="255"/>
      <c r="C670" s="256"/>
      <c r="D670" s="256"/>
      <c r="E670" s="256"/>
      <c r="F670" s="256"/>
      <c r="G670" s="256"/>
      <c r="H670" s="256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  <c r="AA670" s="256"/>
    </row>
    <row r="671">
      <c r="A671" s="256"/>
      <c r="B671" s="255"/>
      <c r="C671" s="256"/>
      <c r="D671" s="256"/>
      <c r="E671" s="256"/>
      <c r="F671" s="256"/>
      <c r="G671" s="256"/>
      <c r="H671" s="256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  <c r="AA671" s="256"/>
    </row>
    <row r="672">
      <c r="A672" s="256"/>
      <c r="B672" s="255"/>
      <c r="C672" s="256"/>
      <c r="D672" s="256"/>
      <c r="E672" s="256"/>
      <c r="F672" s="256"/>
      <c r="G672" s="256"/>
      <c r="H672" s="256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  <c r="AA672" s="256"/>
    </row>
    <row r="673">
      <c r="A673" s="256"/>
      <c r="B673" s="255"/>
      <c r="C673" s="256"/>
      <c r="D673" s="256"/>
      <c r="E673" s="256"/>
      <c r="F673" s="256"/>
      <c r="G673" s="256"/>
      <c r="H673" s="256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  <c r="AA673" s="256"/>
    </row>
    <row r="674">
      <c r="A674" s="256"/>
      <c r="B674" s="255"/>
      <c r="C674" s="256"/>
      <c r="D674" s="256"/>
      <c r="E674" s="256"/>
      <c r="F674" s="256"/>
      <c r="G674" s="256"/>
      <c r="H674" s="256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  <c r="AA674" s="256"/>
    </row>
    <row r="675">
      <c r="A675" s="256"/>
      <c r="B675" s="255"/>
      <c r="C675" s="256"/>
      <c r="D675" s="256"/>
      <c r="E675" s="256"/>
      <c r="F675" s="256"/>
      <c r="G675" s="256"/>
      <c r="H675" s="256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  <c r="AA675" s="256"/>
    </row>
    <row r="676">
      <c r="A676" s="256"/>
      <c r="B676" s="255"/>
      <c r="C676" s="256"/>
      <c r="D676" s="256"/>
      <c r="E676" s="256"/>
      <c r="F676" s="256"/>
      <c r="G676" s="256"/>
      <c r="H676" s="256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  <c r="AA676" s="256"/>
    </row>
    <row r="677">
      <c r="A677" s="256"/>
      <c r="B677" s="255"/>
      <c r="C677" s="256"/>
      <c r="D677" s="256"/>
      <c r="E677" s="256"/>
      <c r="F677" s="256"/>
      <c r="G677" s="256"/>
      <c r="H677" s="256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  <c r="AA677" s="256"/>
    </row>
    <row r="678">
      <c r="A678" s="256"/>
      <c r="B678" s="255"/>
      <c r="C678" s="256"/>
      <c r="D678" s="256"/>
      <c r="E678" s="256"/>
      <c r="F678" s="256"/>
      <c r="G678" s="256"/>
      <c r="H678" s="256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  <c r="AA678" s="256"/>
    </row>
    <row r="679">
      <c r="A679" s="256"/>
      <c r="B679" s="255"/>
      <c r="C679" s="256"/>
      <c r="D679" s="256"/>
      <c r="E679" s="256"/>
      <c r="F679" s="256"/>
      <c r="G679" s="256"/>
      <c r="H679" s="256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  <c r="AA679" s="256"/>
    </row>
    <row r="680">
      <c r="A680" s="256"/>
      <c r="B680" s="255"/>
      <c r="C680" s="256"/>
      <c r="D680" s="256"/>
      <c r="E680" s="256"/>
      <c r="F680" s="256"/>
      <c r="G680" s="256"/>
      <c r="H680" s="256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  <c r="AA680" s="256"/>
    </row>
    <row r="681">
      <c r="A681" s="256"/>
      <c r="B681" s="255"/>
      <c r="C681" s="256"/>
      <c r="D681" s="256"/>
      <c r="E681" s="256"/>
      <c r="F681" s="256"/>
      <c r="G681" s="256"/>
      <c r="H681" s="256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  <c r="AA681" s="256"/>
    </row>
    <row r="682">
      <c r="A682" s="256"/>
      <c r="B682" s="255"/>
      <c r="C682" s="256"/>
      <c r="D682" s="256"/>
      <c r="E682" s="256"/>
      <c r="F682" s="256"/>
      <c r="G682" s="256"/>
      <c r="H682" s="256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  <c r="AA682" s="256"/>
    </row>
    <row r="683">
      <c r="A683" s="256"/>
      <c r="B683" s="255"/>
      <c r="C683" s="256"/>
      <c r="D683" s="256"/>
      <c r="E683" s="256"/>
      <c r="F683" s="256"/>
      <c r="G683" s="256"/>
      <c r="H683" s="256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  <c r="AA683" s="256"/>
    </row>
    <row r="684">
      <c r="A684" s="256"/>
      <c r="B684" s="255"/>
      <c r="C684" s="256"/>
      <c r="D684" s="256"/>
      <c r="E684" s="256"/>
      <c r="F684" s="256"/>
      <c r="G684" s="256"/>
      <c r="H684" s="256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  <c r="AA684" s="256"/>
    </row>
    <row r="685">
      <c r="A685" s="256"/>
      <c r="B685" s="255"/>
      <c r="C685" s="256"/>
      <c r="D685" s="256"/>
      <c r="E685" s="256"/>
      <c r="F685" s="256"/>
      <c r="G685" s="256"/>
      <c r="H685" s="256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  <c r="AA685" s="256"/>
    </row>
    <row r="686">
      <c r="A686" s="256"/>
      <c r="B686" s="255"/>
      <c r="C686" s="256"/>
      <c r="D686" s="256"/>
      <c r="E686" s="256"/>
      <c r="F686" s="256"/>
      <c r="G686" s="256"/>
      <c r="H686" s="256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  <c r="AA686" s="256"/>
    </row>
    <row r="687">
      <c r="A687" s="256"/>
      <c r="B687" s="255"/>
      <c r="C687" s="256"/>
      <c r="D687" s="256"/>
      <c r="E687" s="256"/>
      <c r="F687" s="256"/>
      <c r="G687" s="256"/>
      <c r="H687" s="256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  <c r="AA687" s="256"/>
    </row>
    <row r="688">
      <c r="A688" s="256"/>
      <c r="B688" s="255"/>
      <c r="C688" s="256"/>
      <c r="D688" s="256"/>
      <c r="E688" s="256"/>
      <c r="F688" s="256"/>
      <c r="G688" s="256"/>
      <c r="H688" s="256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  <c r="AA688" s="256"/>
    </row>
    <row r="689">
      <c r="A689" s="256"/>
      <c r="B689" s="255"/>
      <c r="C689" s="256"/>
      <c r="D689" s="256"/>
      <c r="E689" s="256"/>
      <c r="F689" s="256"/>
      <c r="G689" s="256"/>
      <c r="H689" s="256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  <c r="AA689" s="256"/>
    </row>
    <row r="690">
      <c r="A690" s="256"/>
      <c r="B690" s="255"/>
      <c r="C690" s="256"/>
      <c r="D690" s="256"/>
      <c r="E690" s="256"/>
      <c r="F690" s="256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  <c r="AA690" s="256"/>
    </row>
    <row r="691">
      <c r="A691" s="256"/>
      <c r="B691" s="255"/>
      <c r="C691" s="256"/>
      <c r="D691" s="256"/>
      <c r="E691" s="256"/>
      <c r="F691" s="256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  <c r="AA691" s="256"/>
    </row>
    <row r="692">
      <c r="A692" s="256"/>
      <c r="B692" s="255"/>
      <c r="C692" s="256"/>
      <c r="D692" s="256"/>
      <c r="E692" s="256"/>
      <c r="F692" s="256"/>
      <c r="G692" s="256"/>
      <c r="H692" s="256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  <c r="AA692" s="256"/>
    </row>
    <row r="693">
      <c r="A693" s="256"/>
      <c r="B693" s="255"/>
      <c r="C693" s="256"/>
      <c r="D693" s="256"/>
      <c r="E693" s="256"/>
      <c r="F693" s="256"/>
      <c r="G693" s="256"/>
      <c r="H693" s="256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  <c r="AA693" s="256"/>
    </row>
    <row r="694">
      <c r="A694" s="256"/>
      <c r="B694" s="255"/>
      <c r="C694" s="256"/>
      <c r="D694" s="256"/>
      <c r="E694" s="256"/>
      <c r="F694" s="256"/>
      <c r="G694" s="256"/>
      <c r="H694" s="256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  <c r="AA694" s="256"/>
    </row>
    <row r="695">
      <c r="A695" s="256"/>
      <c r="B695" s="255"/>
      <c r="C695" s="256"/>
      <c r="D695" s="256"/>
      <c r="E695" s="256"/>
      <c r="F695" s="256"/>
      <c r="G695" s="256"/>
      <c r="H695" s="256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  <c r="AA695" s="256"/>
    </row>
    <row r="696">
      <c r="A696" s="256"/>
      <c r="B696" s="255"/>
      <c r="C696" s="256"/>
      <c r="D696" s="256"/>
      <c r="E696" s="256"/>
      <c r="F696" s="256"/>
      <c r="G696" s="256"/>
      <c r="H696" s="256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  <c r="AA696" s="256"/>
    </row>
    <row r="697">
      <c r="A697" s="256"/>
      <c r="B697" s="255"/>
      <c r="C697" s="256"/>
      <c r="D697" s="256"/>
      <c r="E697" s="256"/>
      <c r="F697" s="256"/>
      <c r="G697" s="256"/>
      <c r="H697" s="256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  <c r="AA697" s="256"/>
    </row>
    <row r="698">
      <c r="A698" s="256"/>
      <c r="B698" s="255"/>
      <c r="C698" s="256"/>
      <c r="D698" s="256"/>
      <c r="E698" s="256"/>
      <c r="F698" s="256"/>
      <c r="G698" s="256"/>
      <c r="H698" s="256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  <c r="AA698" s="256"/>
    </row>
    <row r="699">
      <c r="A699" s="256"/>
      <c r="B699" s="255"/>
      <c r="C699" s="256"/>
      <c r="D699" s="256"/>
      <c r="E699" s="256"/>
      <c r="F699" s="256"/>
      <c r="G699" s="256"/>
      <c r="H699" s="256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  <c r="AA699" s="256"/>
    </row>
    <row r="700">
      <c r="A700" s="256"/>
      <c r="B700" s="255"/>
      <c r="C700" s="256"/>
      <c r="D700" s="256"/>
      <c r="E700" s="256"/>
      <c r="F700" s="256"/>
      <c r="G700" s="256"/>
      <c r="H700" s="256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  <c r="AA700" s="256"/>
    </row>
    <row r="701">
      <c r="A701" s="256"/>
      <c r="B701" s="255"/>
      <c r="C701" s="256"/>
      <c r="D701" s="256"/>
      <c r="E701" s="256"/>
      <c r="F701" s="256"/>
      <c r="G701" s="256"/>
      <c r="H701" s="256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  <c r="AA701" s="256"/>
    </row>
    <row r="702">
      <c r="A702" s="256"/>
      <c r="B702" s="255"/>
      <c r="C702" s="256"/>
      <c r="D702" s="256"/>
      <c r="E702" s="256"/>
      <c r="F702" s="256"/>
      <c r="G702" s="256"/>
      <c r="H702" s="256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  <c r="AA702" s="256"/>
    </row>
    <row r="703">
      <c r="A703" s="256"/>
      <c r="B703" s="255"/>
      <c r="C703" s="256"/>
      <c r="D703" s="256"/>
      <c r="E703" s="256"/>
      <c r="F703" s="256"/>
      <c r="G703" s="256"/>
      <c r="H703" s="256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  <c r="AA703" s="256"/>
    </row>
    <row r="704">
      <c r="A704" s="256"/>
      <c r="B704" s="255"/>
      <c r="C704" s="256"/>
      <c r="D704" s="256"/>
      <c r="E704" s="256"/>
      <c r="F704" s="256"/>
      <c r="G704" s="256"/>
      <c r="H704" s="256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  <c r="AA704" s="256"/>
    </row>
    <row r="705">
      <c r="A705" s="256"/>
      <c r="B705" s="255"/>
      <c r="C705" s="256"/>
      <c r="D705" s="256"/>
      <c r="E705" s="256"/>
      <c r="F705" s="256"/>
      <c r="G705" s="256"/>
      <c r="H705" s="256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  <c r="AA705" s="256"/>
    </row>
    <row r="706">
      <c r="A706" s="256"/>
      <c r="B706" s="255"/>
      <c r="C706" s="256"/>
      <c r="D706" s="256"/>
      <c r="E706" s="256"/>
      <c r="F706" s="256"/>
      <c r="G706" s="256"/>
      <c r="H706" s="256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  <c r="AA706" s="256"/>
    </row>
    <row r="707">
      <c r="A707" s="256"/>
      <c r="B707" s="255"/>
      <c r="C707" s="256"/>
      <c r="D707" s="256"/>
      <c r="E707" s="256"/>
      <c r="F707" s="256"/>
      <c r="G707" s="256"/>
      <c r="H707" s="256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  <c r="AA707" s="256"/>
    </row>
    <row r="708">
      <c r="A708" s="256"/>
      <c r="B708" s="255"/>
      <c r="C708" s="256"/>
      <c r="D708" s="256"/>
      <c r="E708" s="256"/>
      <c r="F708" s="256"/>
      <c r="G708" s="256"/>
      <c r="H708" s="256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  <c r="AA708" s="256"/>
    </row>
    <row r="709">
      <c r="A709" s="256"/>
      <c r="B709" s="255"/>
      <c r="C709" s="256"/>
      <c r="D709" s="256"/>
      <c r="E709" s="256"/>
      <c r="F709" s="256"/>
      <c r="G709" s="256"/>
      <c r="H709" s="256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  <c r="AA709" s="256"/>
    </row>
    <row r="710">
      <c r="A710" s="256"/>
      <c r="B710" s="255"/>
      <c r="C710" s="256"/>
      <c r="D710" s="256"/>
      <c r="E710" s="256"/>
      <c r="F710" s="256"/>
      <c r="G710" s="256"/>
      <c r="H710" s="256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  <c r="AA710" s="256"/>
    </row>
    <row r="711">
      <c r="A711" s="256"/>
      <c r="B711" s="255"/>
      <c r="C711" s="256"/>
      <c r="D711" s="256"/>
      <c r="E711" s="256"/>
      <c r="F711" s="256"/>
      <c r="G711" s="256"/>
      <c r="H711" s="256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  <c r="AA711" s="256"/>
    </row>
    <row r="712">
      <c r="A712" s="256"/>
      <c r="B712" s="255"/>
      <c r="C712" s="256"/>
      <c r="D712" s="256"/>
      <c r="E712" s="256"/>
      <c r="F712" s="256"/>
      <c r="G712" s="256"/>
      <c r="H712" s="256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  <c r="AA712" s="256"/>
    </row>
    <row r="713">
      <c r="A713" s="256"/>
      <c r="B713" s="255"/>
      <c r="C713" s="256"/>
      <c r="D713" s="256"/>
      <c r="E713" s="256"/>
      <c r="F713" s="256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  <c r="AA713" s="256"/>
    </row>
    <row r="714">
      <c r="A714" s="256"/>
      <c r="B714" s="255"/>
      <c r="C714" s="256"/>
      <c r="D714" s="256"/>
      <c r="E714" s="256"/>
      <c r="F714" s="256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  <c r="AA714" s="256"/>
    </row>
    <row r="715">
      <c r="A715" s="256"/>
      <c r="B715" s="255"/>
      <c r="C715" s="256"/>
      <c r="D715" s="256"/>
      <c r="E715" s="256"/>
      <c r="F715" s="256"/>
      <c r="G715" s="256"/>
      <c r="H715" s="256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  <c r="AA715" s="256"/>
    </row>
    <row r="716">
      <c r="A716" s="256"/>
      <c r="B716" s="255"/>
      <c r="C716" s="256"/>
      <c r="D716" s="256"/>
      <c r="E716" s="256"/>
      <c r="F716" s="256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  <c r="AA716" s="256"/>
    </row>
    <row r="717">
      <c r="A717" s="256"/>
      <c r="B717" s="255"/>
      <c r="C717" s="256"/>
      <c r="D717" s="256"/>
      <c r="E717" s="256"/>
      <c r="F717" s="256"/>
      <c r="G717" s="256"/>
      <c r="H717" s="256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  <c r="AA717" s="256"/>
    </row>
    <row r="718">
      <c r="A718" s="256"/>
      <c r="B718" s="255"/>
      <c r="C718" s="256"/>
      <c r="D718" s="256"/>
      <c r="E718" s="256"/>
      <c r="F718" s="256"/>
      <c r="G718" s="256"/>
      <c r="H718" s="256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  <c r="AA718" s="256"/>
    </row>
    <row r="719">
      <c r="A719" s="256"/>
      <c r="B719" s="255"/>
      <c r="C719" s="256"/>
      <c r="D719" s="256"/>
      <c r="E719" s="256"/>
      <c r="F719" s="256"/>
      <c r="G719" s="256"/>
      <c r="H719" s="256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  <c r="AA719" s="256"/>
    </row>
    <row r="720">
      <c r="A720" s="256"/>
      <c r="B720" s="255"/>
      <c r="C720" s="256"/>
      <c r="D720" s="256"/>
      <c r="E720" s="256"/>
      <c r="F720" s="256"/>
      <c r="G720" s="256"/>
      <c r="H720" s="256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  <c r="AA720" s="256"/>
    </row>
    <row r="721">
      <c r="A721" s="256"/>
      <c r="B721" s="255"/>
      <c r="C721" s="256"/>
      <c r="D721" s="256"/>
      <c r="E721" s="256"/>
      <c r="F721" s="256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  <c r="AA721" s="256"/>
    </row>
    <row r="722">
      <c r="A722" s="256"/>
      <c r="B722" s="255"/>
      <c r="C722" s="256"/>
      <c r="D722" s="256"/>
      <c r="E722" s="256"/>
      <c r="F722" s="256"/>
      <c r="G722" s="256"/>
      <c r="H722" s="256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  <c r="AA722" s="256"/>
    </row>
    <row r="723">
      <c r="A723" s="256"/>
      <c r="B723" s="255"/>
      <c r="C723" s="256"/>
      <c r="D723" s="256"/>
      <c r="E723" s="256"/>
      <c r="F723" s="256"/>
      <c r="G723" s="256"/>
      <c r="H723" s="256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  <c r="AA723" s="256"/>
    </row>
    <row r="724">
      <c r="A724" s="256"/>
      <c r="B724" s="255"/>
      <c r="C724" s="256"/>
      <c r="D724" s="256"/>
      <c r="E724" s="256"/>
      <c r="F724" s="256"/>
      <c r="G724" s="256"/>
      <c r="H724" s="256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  <c r="AA724" s="256"/>
    </row>
    <row r="725">
      <c r="A725" s="256"/>
      <c r="B725" s="255"/>
      <c r="C725" s="256"/>
      <c r="D725" s="256"/>
      <c r="E725" s="256"/>
      <c r="F725" s="256"/>
      <c r="G725" s="256"/>
      <c r="H725" s="256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  <c r="AA725" s="256"/>
    </row>
    <row r="726">
      <c r="A726" s="256"/>
      <c r="B726" s="255"/>
      <c r="C726" s="256"/>
      <c r="D726" s="256"/>
      <c r="E726" s="256"/>
      <c r="F726" s="256"/>
      <c r="G726" s="256"/>
      <c r="H726" s="256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  <c r="AA726" s="256"/>
    </row>
    <row r="727">
      <c r="A727" s="256"/>
      <c r="B727" s="255"/>
      <c r="C727" s="256"/>
      <c r="D727" s="256"/>
      <c r="E727" s="256"/>
      <c r="F727" s="256"/>
      <c r="G727" s="256"/>
      <c r="H727" s="256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  <c r="AA727" s="256"/>
    </row>
    <row r="728">
      <c r="A728" s="256"/>
      <c r="B728" s="255"/>
      <c r="C728" s="256"/>
      <c r="D728" s="256"/>
      <c r="E728" s="256"/>
      <c r="F728" s="256"/>
      <c r="G728" s="256"/>
      <c r="H728" s="256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  <c r="AA728" s="256"/>
    </row>
    <row r="729">
      <c r="A729" s="256"/>
      <c r="B729" s="255"/>
      <c r="C729" s="256"/>
      <c r="D729" s="256"/>
      <c r="E729" s="256"/>
      <c r="F729" s="256"/>
      <c r="G729" s="256"/>
      <c r="H729" s="256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  <c r="AA729" s="256"/>
    </row>
    <row r="730">
      <c r="A730" s="256"/>
      <c r="B730" s="255"/>
      <c r="C730" s="256"/>
      <c r="D730" s="256"/>
      <c r="E730" s="256"/>
      <c r="F730" s="256"/>
      <c r="G730" s="256"/>
      <c r="H730" s="256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  <c r="AA730" s="256"/>
    </row>
    <row r="731">
      <c r="A731" s="256"/>
      <c r="B731" s="255"/>
      <c r="C731" s="256"/>
      <c r="D731" s="256"/>
      <c r="E731" s="256"/>
      <c r="F731" s="256"/>
      <c r="G731" s="256"/>
      <c r="H731" s="256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  <c r="AA731" s="256"/>
    </row>
    <row r="732">
      <c r="A732" s="256"/>
      <c r="B732" s="255"/>
      <c r="C732" s="256"/>
      <c r="D732" s="256"/>
      <c r="E732" s="256"/>
      <c r="F732" s="256"/>
      <c r="G732" s="256"/>
      <c r="H732" s="256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  <c r="AA732" s="256"/>
    </row>
    <row r="733">
      <c r="A733" s="256"/>
      <c r="B733" s="255"/>
      <c r="C733" s="256"/>
      <c r="D733" s="256"/>
      <c r="E733" s="256"/>
      <c r="F733" s="256"/>
      <c r="G733" s="256"/>
      <c r="H733" s="256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  <c r="AA733" s="256"/>
    </row>
    <row r="734">
      <c r="A734" s="256"/>
      <c r="B734" s="255"/>
      <c r="C734" s="256"/>
      <c r="D734" s="256"/>
      <c r="E734" s="256"/>
      <c r="F734" s="256"/>
      <c r="G734" s="256"/>
      <c r="H734" s="256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  <c r="AA734" s="256"/>
    </row>
    <row r="735">
      <c r="A735" s="256"/>
      <c r="B735" s="255"/>
      <c r="C735" s="256"/>
      <c r="D735" s="256"/>
      <c r="E735" s="256"/>
      <c r="F735" s="256"/>
      <c r="G735" s="256"/>
      <c r="H735" s="256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  <c r="AA735" s="256"/>
    </row>
    <row r="736">
      <c r="A736" s="256"/>
      <c r="B736" s="255"/>
      <c r="C736" s="256"/>
      <c r="D736" s="256"/>
      <c r="E736" s="256"/>
      <c r="F736" s="256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  <c r="AA736" s="256"/>
    </row>
    <row r="737">
      <c r="A737" s="256"/>
      <c r="B737" s="255"/>
      <c r="C737" s="256"/>
      <c r="D737" s="256"/>
      <c r="E737" s="256"/>
      <c r="F737" s="256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  <c r="AA737" s="256"/>
    </row>
    <row r="738">
      <c r="A738" s="256"/>
      <c r="B738" s="255"/>
      <c r="C738" s="256"/>
      <c r="D738" s="256"/>
      <c r="E738" s="256"/>
      <c r="F738" s="256"/>
      <c r="G738" s="256"/>
      <c r="H738" s="256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  <c r="AA738" s="256"/>
    </row>
    <row r="739">
      <c r="A739" s="256"/>
      <c r="B739" s="255"/>
      <c r="C739" s="256"/>
      <c r="D739" s="256"/>
      <c r="E739" s="256"/>
      <c r="F739" s="256"/>
      <c r="G739" s="256"/>
      <c r="H739" s="256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  <c r="AA739" s="256"/>
    </row>
    <row r="740">
      <c r="A740" s="256"/>
      <c r="B740" s="255"/>
      <c r="C740" s="256"/>
      <c r="D740" s="256"/>
      <c r="E740" s="256"/>
      <c r="F740" s="256"/>
      <c r="G740" s="256"/>
      <c r="H740" s="256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  <c r="AA740" s="256"/>
    </row>
    <row r="741">
      <c r="A741" s="256"/>
      <c r="B741" s="255"/>
      <c r="C741" s="256"/>
      <c r="D741" s="256"/>
      <c r="E741" s="256"/>
      <c r="F741" s="256"/>
      <c r="G741" s="256"/>
      <c r="H741" s="256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  <c r="AA741" s="256"/>
    </row>
    <row r="742">
      <c r="A742" s="256"/>
      <c r="B742" s="255"/>
      <c r="C742" s="256"/>
      <c r="D742" s="256"/>
      <c r="E742" s="256"/>
      <c r="F742" s="256"/>
      <c r="G742" s="256"/>
      <c r="H742" s="256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  <c r="AA742" s="256"/>
    </row>
    <row r="743">
      <c r="A743" s="256"/>
      <c r="B743" s="255"/>
      <c r="C743" s="256"/>
      <c r="D743" s="256"/>
      <c r="E743" s="256"/>
      <c r="F743" s="256"/>
      <c r="G743" s="256"/>
      <c r="H743" s="256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  <c r="AA743" s="256"/>
    </row>
    <row r="744">
      <c r="A744" s="256"/>
      <c r="B744" s="255"/>
      <c r="C744" s="256"/>
      <c r="D744" s="256"/>
      <c r="E744" s="256"/>
      <c r="F744" s="256"/>
      <c r="G744" s="256"/>
      <c r="H744" s="256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  <c r="AA744" s="256"/>
    </row>
    <row r="745">
      <c r="A745" s="256"/>
      <c r="B745" s="255"/>
      <c r="C745" s="256"/>
      <c r="D745" s="256"/>
      <c r="E745" s="256"/>
      <c r="F745" s="256"/>
      <c r="G745" s="256"/>
      <c r="H745" s="256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  <c r="AA745" s="256"/>
    </row>
    <row r="746">
      <c r="A746" s="256"/>
      <c r="B746" s="255"/>
      <c r="C746" s="256"/>
      <c r="D746" s="256"/>
      <c r="E746" s="256"/>
      <c r="F746" s="256"/>
      <c r="G746" s="256"/>
      <c r="H746" s="256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  <c r="AA746" s="256"/>
    </row>
    <row r="747">
      <c r="A747" s="256"/>
      <c r="B747" s="255"/>
      <c r="C747" s="256"/>
      <c r="D747" s="256"/>
      <c r="E747" s="256"/>
      <c r="F747" s="256"/>
      <c r="G747" s="256"/>
      <c r="H747" s="256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  <c r="AA747" s="256"/>
    </row>
    <row r="748">
      <c r="A748" s="256"/>
      <c r="B748" s="255"/>
      <c r="C748" s="256"/>
      <c r="D748" s="256"/>
      <c r="E748" s="256"/>
      <c r="F748" s="256"/>
      <c r="G748" s="256"/>
      <c r="H748" s="256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  <c r="AA748" s="256"/>
    </row>
    <row r="749">
      <c r="A749" s="256"/>
      <c r="B749" s="255"/>
      <c r="C749" s="256"/>
      <c r="D749" s="256"/>
      <c r="E749" s="256"/>
      <c r="F749" s="256"/>
      <c r="G749" s="256"/>
      <c r="H749" s="256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  <c r="AA749" s="256"/>
    </row>
    <row r="750">
      <c r="A750" s="256"/>
      <c r="B750" s="255"/>
      <c r="C750" s="256"/>
      <c r="D750" s="256"/>
      <c r="E750" s="256"/>
      <c r="F750" s="256"/>
      <c r="G750" s="256"/>
      <c r="H750" s="256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  <c r="AA750" s="256"/>
    </row>
    <row r="751">
      <c r="A751" s="256"/>
      <c r="B751" s="255"/>
      <c r="C751" s="256"/>
      <c r="D751" s="256"/>
      <c r="E751" s="256"/>
      <c r="F751" s="256"/>
      <c r="G751" s="256"/>
      <c r="H751" s="256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  <c r="AA751" s="256"/>
    </row>
    <row r="752">
      <c r="A752" s="256"/>
      <c r="B752" s="255"/>
      <c r="C752" s="256"/>
      <c r="D752" s="256"/>
      <c r="E752" s="256"/>
      <c r="F752" s="256"/>
      <c r="G752" s="256"/>
      <c r="H752" s="256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  <c r="AA752" s="256"/>
    </row>
    <row r="753">
      <c r="A753" s="256"/>
      <c r="B753" s="255"/>
      <c r="C753" s="256"/>
      <c r="D753" s="256"/>
      <c r="E753" s="256"/>
      <c r="F753" s="256"/>
      <c r="G753" s="256"/>
      <c r="H753" s="256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  <c r="AA753" s="256"/>
    </row>
    <row r="754">
      <c r="A754" s="256"/>
      <c r="B754" s="255"/>
      <c r="C754" s="256"/>
      <c r="D754" s="256"/>
      <c r="E754" s="256"/>
      <c r="F754" s="256"/>
      <c r="G754" s="256"/>
      <c r="H754" s="256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  <c r="AA754" s="256"/>
    </row>
    <row r="755">
      <c r="A755" s="256"/>
      <c r="B755" s="255"/>
      <c r="C755" s="256"/>
      <c r="D755" s="256"/>
      <c r="E755" s="256"/>
      <c r="F755" s="256"/>
      <c r="G755" s="256"/>
      <c r="H755" s="256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  <c r="AA755" s="256"/>
    </row>
    <row r="756">
      <c r="A756" s="256"/>
      <c r="B756" s="255"/>
      <c r="C756" s="256"/>
      <c r="D756" s="256"/>
      <c r="E756" s="256"/>
      <c r="F756" s="256"/>
      <c r="G756" s="256"/>
      <c r="H756" s="256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  <c r="AA756" s="256"/>
    </row>
    <row r="757">
      <c r="A757" s="256"/>
      <c r="B757" s="255"/>
      <c r="C757" s="256"/>
      <c r="D757" s="256"/>
      <c r="E757" s="256"/>
      <c r="F757" s="256"/>
      <c r="G757" s="256"/>
      <c r="H757" s="256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  <c r="AA757" s="256"/>
    </row>
    <row r="758">
      <c r="A758" s="256"/>
      <c r="B758" s="255"/>
      <c r="C758" s="256"/>
      <c r="D758" s="256"/>
      <c r="E758" s="256"/>
      <c r="F758" s="256"/>
      <c r="G758" s="256"/>
      <c r="H758" s="256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  <c r="AA758" s="256"/>
    </row>
    <row r="759">
      <c r="A759" s="256"/>
      <c r="B759" s="255"/>
      <c r="C759" s="256"/>
      <c r="D759" s="256"/>
      <c r="E759" s="256"/>
      <c r="F759" s="256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  <c r="AA759" s="256"/>
    </row>
    <row r="760">
      <c r="A760" s="256"/>
      <c r="B760" s="255"/>
      <c r="C760" s="256"/>
      <c r="D760" s="256"/>
      <c r="E760" s="256"/>
      <c r="F760" s="256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  <c r="AA760" s="256"/>
    </row>
    <row r="761">
      <c r="A761" s="256"/>
      <c r="B761" s="255"/>
      <c r="C761" s="256"/>
      <c r="D761" s="256"/>
      <c r="E761" s="256"/>
      <c r="F761" s="256"/>
      <c r="G761" s="256"/>
      <c r="H761" s="256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  <c r="AA761" s="256"/>
    </row>
    <row r="762">
      <c r="A762" s="256"/>
      <c r="B762" s="255"/>
      <c r="C762" s="256"/>
      <c r="D762" s="256"/>
      <c r="E762" s="256"/>
      <c r="F762" s="256"/>
      <c r="G762" s="256"/>
      <c r="H762" s="256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  <c r="AA762" s="256"/>
    </row>
    <row r="763">
      <c r="A763" s="256"/>
      <c r="B763" s="255"/>
      <c r="C763" s="256"/>
      <c r="D763" s="256"/>
      <c r="E763" s="256"/>
      <c r="F763" s="256"/>
      <c r="G763" s="256"/>
      <c r="H763" s="256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  <c r="AA763" s="256"/>
    </row>
    <row r="764">
      <c r="A764" s="256"/>
      <c r="B764" s="255"/>
      <c r="C764" s="256"/>
      <c r="D764" s="256"/>
      <c r="E764" s="256"/>
      <c r="F764" s="256"/>
      <c r="G764" s="256"/>
      <c r="H764" s="256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  <c r="AA764" s="256"/>
    </row>
    <row r="765">
      <c r="A765" s="256"/>
      <c r="B765" s="255"/>
      <c r="C765" s="256"/>
      <c r="D765" s="256"/>
      <c r="E765" s="256"/>
      <c r="F765" s="256"/>
      <c r="G765" s="256"/>
      <c r="H765" s="256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  <c r="AA765" s="256"/>
    </row>
    <row r="766">
      <c r="A766" s="256"/>
      <c r="B766" s="255"/>
      <c r="C766" s="256"/>
      <c r="D766" s="256"/>
      <c r="E766" s="256"/>
      <c r="F766" s="256"/>
      <c r="G766" s="256"/>
      <c r="H766" s="256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  <c r="AA766" s="256"/>
    </row>
    <row r="767">
      <c r="A767" s="256"/>
      <c r="B767" s="255"/>
      <c r="C767" s="256"/>
      <c r="D767" s="256"/>
      <c r="E767" s="256"/>
      <c r="F767" s="256"/>
      <c r="G767" s="256"/>
      <c r="H767" s="256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  <c r="AA767" s="256"/>
    </row>
    <row r="768">
      <c r="A768" s="256"/>
      <c r="B768" s="255"/>
      <c r="C768" s="256"/>
      <c r="D768" s="256"/>
      <c r="E768" s="256"/>
      <c r="F768" s="256"/>
      <c r="G768" s="256"/>
      <c r="H768" s="256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  <c r="AA768" s="256"/>
    </row>
    <row r="769">
      <c r="A769" s="256"/>
      <c r="B769" s="255"/>
      <c r="C769" s="256"/>
      <c r="D769" s="256"/>
      <c r="E769" s="256"/>
      <c r="F769" s="256"/>
      <c r="G769" s="256"/>
      <c r="H769" s="256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  <c r="AA769" s="256"/>
    </row>
    <row r="770">
      <c r="A770" s="256"/>
      <c r="B770" s="255"/>
      <c r="C770" s="256"/>
      <c r="D770" s="256"/>
      <c r="E770" s="256"/>
      <c r="F770" s="256"/>
      <c r="G770" s="256"/>
      <c r="H770" s="256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  <c r="AA770" s="256"/>
    </row>
    <row r="771">
      <c r="A771" s="256"/>
      <c r="B771" s="255"/>
      <c r="C771" s="256"/>
      <c r="D771" s="256"/>
      <c r="E771" s="256"/>
      <c r="F771" s="256"/>
      <c r="G771" s="256"/>
      <c r="H771" s="256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  <c r="AA771" s="256"/>
    </row>
    <row r="772">
      <c r="A772" s="256"/>
      <c r="B772" s="255"/>
      <c r="C772" s="256"/>
      <c r="D772" s="256"/>
      <c r="E772" s="256"/>
      <c r="F772" s="256"/>
      <c r="G772" s="256"/>
      <c r="H772" s="256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  <c r="AA772" s="256"/>
    </row>
    <row r="773">
      <c r="A773" s="256"/>
      <c r="B773" s="255"/>
      <c r="C773" s="256"/>
      <c r="D773" s="256"/>
      <c r="E773" s="256"/>
      <c r="F773" s="256"/>
      <c r="G773" s="256"/>
      <c r="H773" s="256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  <c r="AA773" s="256"/>
    </row>
    <row r="774">
      <c r="A774" s="256"/>
      <c r="B774" s="255"/>
      <c r="C774" s="256"/>
      <c r="D774" s="256"/>
      <c r="E774" s="256"/>
      <c r="F774" s="256"/>
      <c r="G774" s="256"/>
      <c r="H774" s="256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  <c r="AA774" s="256"/>
    </row>
    <row r="775">
      <c r="A775" s="256"/>
      <c r="B775" s="255"/>
      <c r="C775" s="256"/>
      <c r="D775" s="256"/>
      <c r="E775" s="256"/>
      <c r="F775" s="256"/>
      <c r="G775" s="256"/>
      <c r="H775" s="256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  <c r="AA775" s="256"/>
    </row>
    <row r="776">
      <c r="A776" s="256"/>
      <c r="B776" s="255"/>
      <c r="C776" s="256"/>
      <c r="D776" s="256"/>
      <c r="E776" s="256"/>
      <c r="F776" s="256"/>
      <c r="G776" s="256"/>
      <c r="H776" s="256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  <c r="AA776" s="256"/>
    </row>
    <row r="777">
      <c r="A777" s="256"/>
      <c r="B777" s="255"/>
      <c r="C777" s="256"/>
      <c r="D777" s="256"/>
      <c r="E777" s="256"/>
      <c r="F777" s="256"/>
      <c r="G777" s="256"/>
      <c r="H777" s="256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  <c r="AA777" s="256"/>
    </row>
    <row r="778">
      <c r="A778" s="256"/>
      <c r="B778" s="255"/>
      <c r="C778" s="256"/>
      <c r="D778" s="256"/>
      <c r="E778" s="256"/>
      <c r="F778" s="256"/>
      <c r="G778" s="256"/>
      <c r="H778" s="256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  <c r="AA778" s="256"/>
    </row>
    <row r="779">
      <c r="A779" s="256"/>
      <c r="B779" s="255"/>
      <c r="C779" s="256"/>
      <c r="D779" s="256"/>
      <c r="E779" s="256"/>
      <c r="F779" s="256"/>
      <c r="G779" s="256"/>
      <c r="H779" s="256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  <c r="AA779" s="256"/>
    </row>
    <row r="780">
      <c r="A780" s="256"/>
      <c r="B780" s="255"/>
      <c r="C780" s="256"/>
      <c r="D780" s="256"/>
      <c r="E780" s="256"/>
      <c r="F780" s="256"/>
      <c r="G780" s="256"/>
      <c r="H780" s="256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  <c r="AA780" s="256"/>
    </row>
    <row r="781">
      <c r="A781" s="256"/>
      <c r="B781" s="255"/>
      <c r="C781" s="256"/>
      <c r="D781" s="256"/>
      <c r="E781" s="256"/>
      <c r="F781" s="256"/>
      <c r="G781" s="256"/>
      <c r="H781" s="256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  <c r="AA781" s="256"/>
    </row>
    <row r="782">
      <c r="A782" s="256"/>
      <c r="B782" s="255"/>
      <c r="C782" s="256"/>
      <c r="D782" s="256"/>
      <c r="E782" s="256"/>
      <c r="F782" s="256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  <c r="AA782" s="256"/>
    </row>
    <row r="783">
      <c r="A783" s="256"/>
      <c r="B783" s="255"/>
      <c r="C783" s="256"/>
      <c r="D783" s="256"/>
      <c r="E783" s="256"/>
      <c r="F783" s="256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  <c r="AA783" s="256"/>
    </row>
    <row r="784">
      <c r="A784" s="256"/>
      <c r="B784" s="255"/>
      <c r="C784" s="256"/>
      <c r="D784" s="256"/>
      <c r="E784" s="256"/>
      <c r="F784" s="256"/>
      <c r="G784" s="256"/>
      <c r="H784" s="256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  <c r="AA784" s="256"/>
    </row>
    <row r="785">
      <c r="A785" s="256"/>
      <c r="B785" s="255"/>
      <c r="C785" s="256"/>
      <c r="D785" s="256"/>
      <c r="E785" s="256"/>
      <c r="F785" s="256"/>
      <c r="G785" s="256"/>
      <c r="H785" s="256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  <c r="AA785" s="256"/>
    </row>
    <row r="786">
      <c r="A786" s="256"/>
      <c r="B786" s="255"/>
      <c r="C786" s="256"/>
      <c r="D786" s="256"/>
      <c r="E786" s="256"/>
      <c r="F786" s="256"/>
      <c r="G786" s="256"/>
      <c r="H786" s="256"/>
      <c r="I786" s="256"/>
      <c r="J786" s="256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  <c r="AA786" s="256"/>
    </row>
    <row r="787">
      <c r="A787" s="256"/>
      <c r="B787" s="255"/>
      <c r="C787" s="256"/>
      <c r="D787" s="256"/>
      <c r="E787" s="256"/>
      <c r="F787" s="256"/>
      <c r="G787" s="256"/>
      <c r="H787" s="256"/>
      <c r="I787" s="256"/>
      <c r="J787" s="256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  <c r="AA787" s="256"/>
    </row>
    <row r="788">
      <c r="A788" s="256"/>
      <c r="B788" s="255"/>
      <c r="C788" s="256"/>
      <c r="D788" s="256"/>
      <c r="E788" s="256"/>
      <c r="F788" s="256"/>
      <c r="G788" s="256"/>
      <c r="H788" s="256"/>
      <c r="I788" s="256"/>
      <c r="J788" s="256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  <c r="AA788" s="256"/>
    </row>
    <row r="789">
      <c r="A789" s="256"/>
      <c r="B789" s="255"/>
      <c r="C789" s="256"/>
      <c r="D789" s="256"/>
      <c r="E789" s="256"/>
      <c r="F789" s="256"/>
      <c r="G789" s="256"/>
      <c r="H789" s="256"/>
      <c r="I789" s="256"/>
      <c r="J789" s="256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  <c r="AA789" s="256"/>
    </row>
    <row r="790">
      <c r="A790" s="256"/>
      <c r="B790" s="255"/>
      <c r="C790" s="256"/>
      <c r="D790" s="256"/>
      <c r="E790" s="256"/>
      <c r="F790" s="256"/>
      <c r="G790" s="256"/>
      <c r="H790" s="256"/>
      <c r="I790" s="256"/>
      <c r="J790" s="256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  <c r="AA790" s="256"/>
    </row>
    <row r="791">
      <c r="A791" s="256"/>
      <c r="B791" s="255"/>
      <c r="C791" s="256"/>
      <c r="D791" s="256"/>
      <c r="E791" s="256"/>
      <c r="F791" s="256"/>
      <c r="G791" s="256"/>
      <c r="H791" s="256"/>
      <c r="I791" s="256"/>
      <c r="J791" s="256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  <c r="AA791" s="256"/>
    </row>
    <row r="792">
      <c r="A792" s="256"/>
      <c r="B792" s="255"/>
      <c r="C792" s="256"/>
      <c r="D792" s="256"/>
      <c r="E792" s="256"/>
      <c r="F792" s="256"/>
      <c r="G792" s="256"/>
      <c r="H792" s="256"/>
      <c r="I792" s="256"/>
      <c r="J792" s="256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  <c r="AA792" s="256"/>
    </row>
    <row r="793">
      <c r="A793" s="256"/>
      <c r="B793" s="255"/>
      <c r="C793" s="256"/>
      <c r="D793" s="256"/>
      <c r="E793" s="256"/>
      <c r="F793" s="256"/>
      <c r="G793" s="256"/>
      <c r="H793" s="256"/>
      <c r="I793" s="256"/>
      <c r="J793" s="256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  <c r="AA793" s="256"/>
    </row>
    <row r="794">
      <c r="A794" s="256"/>
      <c r="B794" s="255"/>
      <c r="C794" s="256"/>
      <c r="D794" s="256"/>
      <c r="E794" s="256"/>
      <c r="F794" s="256"/>
      <c r="G794" s="256"/>
      <c r="H794" s="256"/>
      <c r="I794" s="256"/>
      <c r="J794" s="256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  <c r="AA794" s="256"/>
    </row>
    <row r="795">
      <c r="A795" s="256"/>
      <c r="B795" s="255"/>
      <c r="C795" s="256"/>
      <c r="D795" s="256"/>
      <c r="E795" s="256"/>
      <c r="F795" s="256"/>
      <c r="G795" s="256"/>
      <c r="H795" s="256"/>
      <c r="I795" s="256"/>
      <c r="J795" s="256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  <c r="AA795" s="256"/>
    </row>
    <row r="796">
      <c r="A796" s="256"/>
      <c r="B796" s="255"/>
      <c r="C796" s="256"/>
      <c r="D796" s="256"/>
      <c r="E796" s="256"/>
      <c r="F796" s="256"/>
      <c r="G796" s="256"/>
      <c r="H796" s="256"/>
      <c r="I796" s="256"/>
      <c r="J796" s="256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  <c r="AA796" s="256"/>
    </row>
    <row r="797">
      <c r="A797" s="256"/>
      <c r="B797" s="255"/>
      <c r="C797" s="256"/>
      <c r="D797" s="256"/>
      <c r="E797" s="256"/>
      <c r="F797" s="256"/>
      <c r="G797" s="256"/>
      <c r="H797" s="256"/>
      <c r="I797" s="256"/>
      <c r="J797" s="256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  <c r="AA797" s="256"/>
    </row>
    <row r="798">
      <c r="A798" s="256"/>
      <c r="B798" s="255"/>
      <c r="C798" s="256"/>
      <c r="D798" s="256"/>
      <c r="E798" s="256"/>
      <c r="F798" s="256"/>
      <c r="G798" s="256"/>
      <c r="H798" s="256"/>
      <c r="I798" s="256"/>
      <c r="J798" s="256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  <c r="AA798" s="256"/>
    </row>
    <row r="799">
      <c r="A799" s="256"/>
      <c r="B799" s="255"/>
      <c r="C799" s="256"/>
      <c r="D799" s="256"/>
      <c r="E799" s="256"/>
      <c r="F799" s="256"/>
      <c r="G799" s="256"/>
      <c r="H799" s="256"/>
      <c r="I799" s="256"/>
      <c r="J799" s="256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  <c r="AA799" s="256"/>
    </row>
    <row r="800">
      <c r="A800" s="256"/>
      <c r="B800" s="255"/>
      <c r="C800" s="256"/>
      <c r="D800" s="256"/>
      <c r="E800" s="256"/>
      <c r="F800" s="256"/>
      <c r="G800" s="256"/>
      <c r="H800" s="256"/>
      <c r="I800" s="256"/>
      <c r="J800" s="256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  <c r="AA800" s="256"/>
    </row>
    <row r="801">
      <c r="A801" s="256"/>
      <c r="B801" s="255"/>
      <c r="C801" s="256"/>
      <c r="D801" s="256"/>
      <c r="E801" s="256"/>
      <c r="F801" s="256"/>
      <c r="G801" s="256"/>
      <c r="H801" s="256"/>
      <c r="I801" s="256"/>
      <c r="J801" s="256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  <c r="AA801" s="256"/>
    </row>
    <row r="802">
      <c r="A802" s="256"/>
      <c r="B802" s="255"/>
      <c r="C802" s="256"/>
      <c r="D802" s="256"/>
      <c r="E802" s="256"/>
      <c r="F802" s="256"/>
      <c r="G802" s="256"/>
      <c r="H802" s="256"/>
      <c r="I802" s="256"/>
      <c r="J802" s="256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  <c r="AA802" s="256"/>
    </row>
    <row r="803">
      <c r="A803" s="256"/>
      <c r="B803" s="255"/>
      <c r="C803" s="256"/>
      <c r="D803" s="256"/>
      <c r="E803" s="256"/>
      <c r="F803" s="256"/>
      <c r="G803" s="256"/>
      <c r="H803" s="256"/>
      <c r="I803" s="256"/>
      <c r="J803" s="256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  <c r="AA803" s="256"/>
    </row>
    <row r="804">
      <c r="A804" s="256"/>
      <c r="B804" s="255"/>
      <c r="C804" s="256"/>
      <c r="D804" s="256"/>
      <c r="E804" s="256"/>
      <c r="F804" s="256"/>
      <c r="G804" s="256"/>
      <c r="H804" s="256"/>
      <c r="I804" s="256"/>
      <c r="J804" s="256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  <c r="AA804" s="256"/>
    </row>
    <row r="805">
      <c r="A805" s="256"/>
      <c r="B805" s="255"/>
      <c r="C805" s="256"/>
      <c r="D805" s="256"/>
      <c r="E805" s="256"/>
      <c r="F805" s="256"/>
      <c r="G805" s="256"/>
      <c r="H805" s="256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  <c r="AA805" s="256"/>
    </row>
    <row r="806">
      <c r="A806" s="256"/>
      <c r="B806" s="255"/>
      <c r="C806" s="256"/>
      <c r="D806" s="256"/>
      <c r="E806" s="256"/>
      <c r="F806" s="256"/>
      <c r="G806" s="256"/>
      <c r="H806" s="256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  <c r="AA806" s="256"/>
    </row>
    <row r="807">
      <c r="A807" s="256"/>
      <c r="B807" s="255"/>
      <c r="C807" s="256"/>
      <c r="D807" s="256"/>
      <c r="E807" s="256"/>
      <c r="F807" s="256"/>
      <c r="G807" s="256"/>
      <c r="H807" s="256"/>
      <c r="I807" s="256"/>
      <c r="J807" s="256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  <c r="AA807" s="256"/>
    </row>
    <row r="808">
      <c r="A808" s="256"/>
      <c r="B808" s="255"/>
      <c r="C808" s="256"/>
      <c r="D808" s="256"/>
      <c r="E808" s="256"/>
      <c r="F808" s="256"/>
      <c r="G808" s="256"/>
      <c r="H808" s="256"/>
      <c r="I808" s="256"/>
      <c r="J808" s="256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  <c r="AA808" s="256"/>
    </row>
    <row r="809">
      <c r="A809" s="256"/>
      <c r="B809" s="255"/>
      <c r="C809" s="256"/>
      <c r="D809" s="256"/>
      <c r="E809" s="256"/>
      <c r="F809" s="256"/>
      <c r="G809" s="256"/>
      <c r="H809" s="256"/>
      <c r="I809" s="256"/>
      <c r="J809" s="256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  <c r="AA809" s="256"/>
    </row>
    <row r="810">
      <c r="A810" s="256"/>
      <c r="B810" s="255"/>
      <c r="C810" s="256"/>
      <c r="D810" s="256"/>
      <c r="E810" s="256"/>
      <c r="F810" s="256"/>
      <c r="G810" s="256"/>
      <c r="H810" s="256"/>
      <c r="I810" s="256"/>
      <c r="J810" s="256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  <c r="AA810" s="256"/>
    </row>
    <row r="811">
      <c r="A811" s="256"/>
      <c r="B811" s="255"/>
      <c r="C811" s="256"/>
      <c r="D811" s="256"/>
      <c r="E811" s="256"/>
      <c r="F811" s="256"/>
      <c r="G811" s="256"/>
      <c r="H811" s="256"/>
      <c r="I811" s="256"/>
      <c r="J811" s="256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  <c r="AA811" s="256"/>
    </row>
    <row r="812">
      <c r="A812" s="256"/>
      <c r="B812" s="255"/>
      <c r="C812" s="256"/>
      <c r="D812" s="256"/>
      <c r="E812" s="256"/>
      <c r="F812" s="256"/>
      <c r="G812" s="256"/>
      <c r="H812" s="256"/>
      <c r="I812" s="256"/>
      <c r="J812" s="256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  <c r="AA812" s="256"/>
    </row>
    <row r="813">
      <c r="A813" s="256"/>
      <c r="B813" s="255"/>
      <c r="C813" s="256"/>
      <c r="D813" s="256"/>
      <c r="E813" s="256"/>
      <c r="F813" s="256"/>
      <c r="G813" s="256"/>
      <c r="H813" s="256"/>
      <c r="I813" s="256"/>
      <c r="J813" s="256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  <c r="AA813" s="256"/>
    </row>
    <row r="814">
      <c r="A814" s="256"/>
      <c r="B814" s="255"/>
      <c r="C814" s="256"/>
      <c r="D814" s="256"/>
      <c r="E814" s="256"/>
      <c r="F814" s="256"/>
      <c r="G814" s="256"/>
      <c r="H814" s="256"/>
      <c r="I814" s="256"/>
      <c r="J814" s="256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  <c r="AA814" s="256"/>
    </row>
    <row r="815">
      <c r="A815" s="256"/>
      <c r="B815" s="255"/>
      <c r="C815" s="256"/>
      <c r="D815" s="256"/>
      <c r="E815" s="256"/>
      <c r="F815" s="256"/>
      <c r="G815" s="256"/>
      <c r="H815" s="256"/>
      <c r="I815" s="256"/>
      <c r="J815" s="256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  <c r="AA815" s="256"/>
    </row>
    <row r="816">
      <c r="A816" s="256"/>
      <c r="B816" s="255"/>
      <c r="C816" s="256"/>
      <c r="D816" s="256"/>
      <c r="E816" s="256"/>
      <c r="F816" s="256"/>
      <c r="G816" s="256"/>
      <c r="H816" s="256"/>
      <c r="I816" s="256"/>
      <c r="J816" s="256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  <c r="AA816" s="256"/>
    </row>
    <row r="817">
      <c r="A817" s="256"/>
      <c r="B817" s="255"/>
      <c r="C817" s="256"/>
      <c r="D817" s="256"/>
      <c r="E817" s="256"/>
      <c r="F817" s="256"/>
      <c r="G817" s="256"/>
      <c r="H817" s="256"/>
      <c r="I817" s="256"/>
      <c r="J817" s="256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  <c r="AA817" s="256"/>
    </row>
    <row r="818">
      <c r="A818" s="256"/>
      <c r="B818" s="255"/>
      <c r="C818" s="256"/>
      <c r="D818" s="256"/>
      <c r="E818" s="256"/>
      <c r="F818" s="256"/>
      <c r="G818" s="256"/>
      <c r="H818" s="256"/>
      <c r="I818" s="256"/>
      <c r="J818" s="256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  <c r="AA818" s="256"/>
    </row>
    <row r="819">
      <c r="A819" s="256"/>
      <c r="B819" s="255"/>
      <c r="C819" s="256"/>
      <c r="D819" s="256"/>
      <c r="E819" s="256"/>
      <c r="F819" s="256"/>
      <c r="G819" s="256"/>
      <c r="H819" s="256"/>
      <c r="I819" s="256"/>
      <c r="J819" s="256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  <c r="AA819" s="256"/>
    </row>
    <row r="820">
      <c r="A820" s="256"/>
      <c r="B820" s="255"/>
      <c r="C820" s="256"/>
      <c r="D820" s="256"/>
      <c r="E820" s="256"/>
      <c r="F820" s="256"/>
      <c r="G820" s="256"/>
      <c r="H820" s="256"/>
      <c r="I820" s="256"/>
      <c r="J820" s="256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  <c r="AA820" s="256"/>
    </row>
    <row r="821">
      <c r="A821" s="256"/>
      <c r="B821" s="255"/>
      <c r="C821" s="256"/>
      <c r="D821" s="256"/>
      <c r="E821" s="256"/>
      <c r="F821" s="256"/>
      <c r="G821" s="256"/>
      <c r="H821" s="256"/>
      <c r="I821" s="256"/>
      <c r="J821" s="256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  <c r="AA821" s="256"/>
    </row>
    <row r="822">
      <c r="A822" s="256"/>
      <c r="B822" s="255"/>
      <c r="C822" s="256"/>
      <c r="D822" s="256"/>
      <c r="E822" s="256"/>
      <c r="F822" s="256"/>
      <c r="G822" s="256"/>
      <c r="H822" s="256"/>
      <c r="I822" s="256"/>
      <c r="J822" s="256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  <c r="AA822" s="256"/>
    </row>
    <row r="823">
      <c r="A823" s="256"/>
      <c r="B823" s="255"/>
      <c r="C823" s="256"/>
      <c r="D823" s="256"/>
      <c r="E823" s="256"/>
      <c r="F823" s="256"/>
      <c r="G823" s="256"/>
      <c r="H823" s="256"/>
      <c r="I823" s="256"/>
      <c r="J823" s="256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  <c r="AA823" s="256"/>
    </row>
    <row r="824">
      <c r="A824" s="256"/>
      <c r="B824" s="255"/>
      <c r="C824" s="256"/>
      <c r="D824" s="256"/>
      <c r="E824" s="256"/>
      <c r="F824" s="256"/>
      <c r="G824" s="256"/>
      <c r="H824" s="256"/>
      <c r="I824" s="256"/>
      <c r="J824" s="256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  <c r="AA824" s="256"/>
    </row>
    <row r="825">
      <c r="A825" s="256"/>
      <c r="B825" s="255"/>
      <c r="C825" s="256"/>
      <c r="D825" s="256"/>
      <c r="E825" s="256"/>
      <c r="F825" s="256"/>
      <c r="G825" s="256"/>
      <c r="H825" s="256"/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  <c r="AA825" s="256"/>
    </row>
    <row r="826">
      <c r="A826" s="256"/>
      <c r="B826" s="255"/>
      <c r="C826" s="256"/>
      <c r="D826" s="256"/>
      <c r="E826" s="256"/>
      <c r="F826" s="256"/>
      <c r="G826" s="256"/>
      <c r="H826" s="256"/>
      <c r="I826" s="256"/>
      <c r="J826" s="256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  <c r="AA826" s="256"/>
    </row>
    <row r="827">
      <c r="A827" s="256"/>
      <c r="B827" s="255"/>
      <c r="C827" s="256"/>
      <c r="D827" s="256"/>
      <c r="E827" s="256"/>
      <c r="F827" s="256"/>
      <c r="G827" s="256"/>
      <c r="H827" s="256"/>
      <c r="I827" s="256"/>
      <c r="J827" s="256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  <c r="AA827" s="256"/>
    </row>
    <row r="828">
      <c r="A828" s="256"/>
      <c r="B828" s="255"/>
      <c r="C828" s="256"/>
      <c r="D828" s="256"/>
      <c r="E828" s="256"/>
      <c r="F828" s="256"/>
      <c r="G828" s="256"/>
      <c r="H828" s="256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  <c r="AA828" s="256"/>
    </row>
    <row r="829">
      <c r="A829" s="256"/>
      <c r="B829" s="255"/>
      <c r="C829" s="256"/>
      <c r="D829" s="256"/>
      <c r="E829" s="256"/>
      <c r="F829" s="256"/>
      <c r="G829" s="256"/>
      <c r="H829" s="256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  <c r="AA829" s="256"/>
    </row>
    <row r="830">
      <c r="A830" s="256"/>
      <c r="B830" s="255"/>
      <c r="C830" s="256"/>
      <c r="D830" s="256"/>
      <c r="E830" s="256"/>
      <c r="F830" s="256"/>
      <c r="G830" s="256"/>
      <c r="H830" s="256"/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  <c r="AA830" s="256"/>
    </row>
    <row r="831">
      <c r="A831" s="256"/>
      <c r="B831" s="255"/>
      <c r="C831" s="256"/>
      <c r="D831" s="256"/>
      <c r="E831" s="256"/>
      <c r="F831" s="256"/>
      <c r="G831" s="256"/>
      <c r="H831" s="256"/>
      <c r="I831" s="256"/>
      <c r="J831" s="256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  <c r="AA831" s="256"/>
    </row>
    <row r="832">
      <c r="A832" s="256"/>
      <c r="B832" s="255"/>
      <c r="C832" s="256"/>
      <c r="D832" s="256"/>
      <c r="E832" s="256"/>
      <c r="F832" s="256"/>
      <c r="G832" s="256"/>
      <c r="H832" s="256"/>
      <c r="I832" s="256"/>
      <c r="J832" s="256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  <c r="AA832" s="256"/>
    </row>
    <row r="833">
      <c r="A833" s="256"/>
      <c r="B833" s="255"/>
      <c r="C833" s="256"/>
      <c r="D833" s="256"/>
      <c r="E833" s="256"/>
      <c r="F833" s="256"/>
      <c r="G833" s="256"/>
      <c r="H833" s="256"/>
      <c r="I833" s="256"/>
      <c r="J833" s="256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  <c r="AA833" s="256"/>
    </row>
    <row r="834">
      <c r="A834" s="256"/>
      <c r="B834" s="255"/>
      <c r="C834" s="256"/>
      <c r="D834" s="256"/>
      <c r="E834" s="256"/>
      <c r="F834" s="256"/>
      <c r="G834" s="256"/>
      <c r="H834" s="256"/>
      <c r="I834" s="256"/>
      <c r="J834" s="256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  <c r="AA834" s="256"/>
    </row>
    <row r="835">
      <c r="A835" s="256"/>
      <c r="B835" s="255"/>
      <c r="C835" s="256"/>
      <c r="D835" s="256"/>
      <c r="E835" s="256"/>
      <c r="F835" s="256"/>
      <c r="G835" s="256"/>
      <c r="H835" s="256"/>
      <c r="I835" s="256"/>
      <c r="J835" s="256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  <c r="AA835" s="256"/>
    </row>
    <row r="836">
      <c r="A836" s="256"/>
      <c r="B836" s="255"/>
      <c r="C836" s="256"/>
      <c r="D836" s="256"/>
      <c r="E836" s="256"/>
      <c r="F836" s="256"/>
      <c r="G836" s="256"/>
      <c r="H836" s="256"/>
      <c r="I836" s="256"/>
      <c r="J836" s="256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  <c r="AA836" s="256"/>
    </row>
    <row r="837">
      <c r="A837" s="256"/>
      <c r="B837" s="255"/>
      <c r="C837" s="256"/>
      <c r="D837" s="256"/>
      <c r="E837" s="256"/>
      <c r="F837" s="256"/>
      <c r="G837" s="256"/>
      <c r="H837" s="256"/>
      <c r="I837" s="256"/>
      <c r="J837" s="256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  <c r="AA837" s="256"/>
    </row>
    <row r="838">
      <c r="A838" s="256"/>
      <c r="B838" s="255"/>
      <c r="C838" s="256"/>
      <c r="D838" s="256"/>
      <c r="E838" s="256"/>
      <c r="F838" s="256"/>
      <c r="G838" s="256"/>
      <c r="H838" s="256"/>
      <c r="I838" s="256"/>
      <c r="J838" s="256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  <c r="AA838" s="256"/>
    </row>
    <row r="839">
      <c r="A839" s="256"/>
      <c r="B839" s="255"/>
      <c r="C839" s="256"/>
      <c r="D839" s="256"/>
      <c r="E839" s="256"/>
      <c r="F839" s="256"/>
      <c r="G839" s="256"/>
      <c r="H839" s="256"/>
      <c r="I839" s="256"/>
      <c r="J839" s="256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  <c r="AA839" s="256"/>
    </row>
    <row r="840">
      <c r="A840" s="256"/>
      <c r="B840" s="255"/>
      <c r="C840" s="256"/>
      <c r="D840" s="256"/>
      <c r="E840" s="256"/>
      <c r="F840" s="256"/>
      <c r="G840" s="256"/>
      <c r="H840" s="256"/>
      <c r="I840" s="256"/>
      <c r="J840" s="256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  <c r="AA840" s="256"/>
    </row>
    <row r="841">
      <c r="A841" s="256"/>
      <c r="B841" s="255"/>
      <c r="C841" s="256"/>
      <c r="D841" s="256"/>
      <c r="E841" s="256"/>
      <c r="F841" s="256"/>
      <c r="G841" s="256"/>
      <c r="H841" s="256"/>
      <c r="I841" s="256"/>
      <c r="J841" s="256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  <c r="AA841" s="256"/>
    </row>
    <row r="842">
      <c r="A842" s="256"/>
      <c r="B842" s="255"/>
      <c r="C842" s="256"/>
      <c r="D842" s="256"/>
      <c r="E842" s="256"/>
      <c r="F842" s="256"/>
      <c r="G842" s="256"/>
      <c r="H842" s="256"/>
      <c r="I842" s="256"/>
      <c r="J842" s="256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  <c r="AA842" s="256"/>
    </row>
    <row r="843">
      <c r="A843" s="256"/>
      <c r="B843" s="255"/>
      <c r="C843" s="256"/>
      <c r="D843" s="256"/>
      <c r="E843" s="256"/>
      <c r="F843" s="256"/>
      <c r="G843" s="256"/>
      <c r="H843" s="256"/>
      <c r="I843" s="256"/>
      <c r="J843" s="256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  <c r="AA843" s="256"/>
    </row>
    <row r="844">
      <c r="A844" s="256"/>
      <c r="B844" s="255"/>
      <c r="C844" s="256"/>
      <c r="D844" s="256"/>
      <c r="E844" s="256"/>
      <c r="F844" s="256"/>
      <c r="G844" s="256"/>
      <c r="H844" s="256"/>
      <c r="I844" s="256"/>
      <c r="J844" s="256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  <c r="AA844" s="256"/>
    </row>
    <row r="845">
      <c r="A845" s="256"/>
      <c r="B845" s="255"/>
      <c r="C845" s="256"/>
      <c r="D845" s="256"/>
      <c r="E845" s="256"/>
      <c r="F845" s="256"/>
      <c r="G845" s="256"/>
      <c r="H845" s="256"/>
      <c r="I845" s="256"/>
      <c r="J845" s="256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  <c r="AA845" s="256"/>
    </row>
    <row r="846">
      <c r="A846" s="256"/>
      <c r="B846" s="255"/>
      <c r="C846" s="256"/>
      <c r="D846" s="256"/>
      <c r="E846" s="256"/>
      <c r="F846" s="256"/>
      <c r="G846" s="256"/>
      <c r="H846" s="256"/>
      <c r="I846" s="256"/>
      <c r="J846" s="256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  <c r="AA846" s="256"/>
    </row>
    <row r="847">
      <c r="A847" s="256"/>
      <c r="B847" s="255"/>
      <c r="C847" s="256"/>
      <c r="D847" s="256"/>
      <c r="E847" s="256"/>
      <c r="F847" s="256"/>
      <c r="G847" s="256"/>
      <c r="H847" s="256"/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  <c r="AA847" s="256"/>
    </row>
    <row r="848">
      <c r="A848" s="256"/>
      <c r="B848" s="255"/>
      <c r="C848" s="256"/>
      <c r="D848" s="256"/>
      <c r="E848" s="256"/>
      <c r="F848" s="256"/>
      <c r="G848" s="256"/>
      <c r="H848" s="256"/>
      <c r="I848" s="256"/>
      <c r="J848" s="256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  <c r="AA848" s="256"/>
    </row>
    <row r="849">
      <c r="A849" s="256"/>
      <c r="B849" s="255"/>
      <c r="C849" s="256"/>
      <c r="D849" s="256"/>
      <c r="E849" s="256"/>
      <c r="F849" s="256"/>
      <c r="G849" s="256"/>
      <c r="H849" s="256"/>
      <c r="I849" s="256"/>
      <c r="J849" s="256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  <c r="AA849" s="256"/>
    </row>
    <row r="850">
      <c r="A850" s="256"/>
      <c r="B850" s="255"/>
      <c r="C850" s="256"/>
      <c r="D850" s="256"/>
      <c r="E850" s="256"/>
      <c r="F850" s="256"/>
      <c r="G850" s="256"/>
      <c r="H850" s="256"/>
      <c r="I850" s="256"/>
      <c r="J850" s="256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  <c r="AA850" s="256"/>
    </row>
    <row r="851">
      <c r="A851" s="256"/>
      <c r="B851" s="255"/>
      <c r="C851" s="256"/>
      <c r="D851" s="256"/>
      <c r="E851" s="256"/>
      <c r="F851" s="256"/>
      <c r="G851" s="256"/>
      <c r="H851" s="256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  <c r="AA851" s="256"/>
    </row>
    <row r="852">
      <c r="A852" s="256"/>
      <c r="B852" s="255"/>
      <c r="C852" s="256"/>
      <c r="D852" s="256"/>
      <c r="E852" s="256"/>
      <c r="F852" s="256"/>
      <c r="G852" s="256"/>
      <c r="H852" s="256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  <c r="AA852" s="256"/>
    </row>
    <row r="853">
      <c r="A853" s="256"/>
      <c r="B853" s="255"/>
      <c r="C853" s="256"/>
      <c r="D853" s="256"/>
      <c r="E853" s="256"/>
      <c r="F853" s="256"/>
      <c r="G853" s="256"/>
      <c r="H853" s="256"/>
      <c r="I853" s="256"/>
      <c r="J853" s="256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  <c r="AA853" s="256"/>
    </row>
    <row r="854">
      <c r="A854" s="256"/>
      <c r="B854" s="255"/>
      <c r="C854" s="256"/>
      <c r="D854" s="256"/>
      <c r="E854" s="256"/>
      <c r="F854" s="256"/>
      <c r="G854" s="256"/>
      <c r="H854" s="256"/>
      <c r="I854" s="256"/>
      <c r="J854" s="256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  <c r="AA854" s="256"/>
    </row>
    <row r="855">
      <c r="A855" s="256"/>
      <c r="B855" s="255"/>
      <c r="C855" s="256"/>
      <c r="D855" s="256"/>
      <c r="E855" s="256"/>
      <c r="F855" s="256"/>
      <c r="G855" s="256"/>
      <c r="H855" s="256"/>
      <c r="I855" s="256"/>
      <c r="J855" s="256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  <c r="AA855" s="256"/>
    </row>
    <row r="856">
      <c r="A856" s="256"/>
      <c r="B856" s="255"/>
      <c r="C856" s="256"/>
      <c r="D856" s="256"/>
      <c r="E856" s="256"/>
      <c r="F856" s="256"/>
      <c r="G856" s="256"/>
      <c r="H856" s="256"/>
      <c r="I856" s="256"/>
      <c r="J856" s="256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  <c r="AA856" s="256"/>
    </row>
    <row r="857">
      <c r="A857" s="256"/>
      <c r="B857" s="255"/>
      <c r="C857" s="256"/>
      <c r="D857" s="256"/>
      <c r="E857" s="256"/>
      <c r="F857" s="256"/>
      <c r="G857" s="256"/>
      <c r="H857" s="256"/>
      <c r="I857" s="256"/>
      <c r="J857" s="256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  <c r="AA857" s="256"/>
    </row>
    <row r="858">
      <c r="A858" s="256"/>
      <c r="B858" s="255"/>
      <c r="C858" s="256"/>
      <c r="D858" s="256"/>
      <c r="E858" s="256"/>
      <c r="F858" s="256"/>
      <c r="G858" s="256"/>
      <c r="H858" s="256"/>
      <c r="I858" s="256"/>
      <c r="J858" s="256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  <c r="AA858" s="256"/>
    </row>
    <row r="859">
      <c r="A859" s="256"/>
      <c r="B859" s="255"/>
      <c r="C859" s="256"/>
      <c r="D859" s="256"/>
      <c r="E859" s="256"/>
      <c r="F859" s="256"/>
      <c r="G859" s="256"/>
      <c r="H859" s="256"/>
      <c r="I859" s="256"/>
      <c r="J859" s="256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  <c r="AA859" s="256"/>
    </row>
    <row r="860">
      <c r="A860" s="256"/>
      <c r="B860" s="255"/>
      <c r="C860" s="256"/>
      <c r="D860" s="256"/>
      <c r="E860" s="256"/>
      <c r="F860" s="256"/>
      <c r="G860" s="256"/>
      <c r="H860" s="256"/>
      <c r="I860" s="256"/>
      <c r="J860" s="256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  <c r="AA860" s="256"/>
    </row>
    <row r="861">
      <c r="A861" s="256"/>
      <c r="B861" s="255"/>
      <c r="C861" s="256"/>
      <c r="D861" s="256"/>
      <c r="E861" s="256"/>
      <c r="F861" s="256"/>
      <c r="G861" s="256"/>
      <c r="H861" s="256"/>
      <c r="I861" s="256"/>
      <c r="J861" s="256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  <c r="AA861" s="256"/>
    </row>
    <row r="862">
      <c r="A862" s="256"/>
      <c r="B862" s="255"/>
      <c r="C862" s="256"/>
      <c r="D862" s="256"/>
      <c r="E862" s="256"/>
      <c r="F862" s="256"/>
      <c r="G862" s="256"/>
      <c r="H862" s="256"/>
      <c r="I862" s="256"/>
      <c r="J862" s="256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  <c r="AA862" s="256"/>
    </row>
    <row r="863">
      <c r="A863" s="256"/>
      <c r="B863" s="255"/>
      <c r="C863" s="256"/>
      <c r="D863" s="256"/>
      <c r="E863" s="256"/>
      <c r="F863" s="256"/>
      <c r="G863" s="256"/>
      <c r="H863" s="256"/>
      <c r="I863" s="256"/>
      <c r="J863" s="256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  <c r="AA863" s="256"/>
    </row>
    <row r="864">
      <c r="A864" s="256"/>
      <c r="B864" s="255"/>
      <c r="C864" s="256"/>
      <c r="D864" s="256"/>
      <c r="E864" s="256"/>
      <c r="F864" s="256"/>
      <c r="G864" s="256"/>
      <c r="H864" s="256"/>
      <c r="I864" s="256"/>
      <c r="J864" s="256"/>
      <c r="K864" s="256"/>
      <c r="L864" s="256"/>
      <c r="M864" s="256"/>
      <c r="N864" s="256"/>
      <c r="O864" s="256"/>
      <c r="P864" s="256"/>
      <c r="Q864" s="256"/>
      <c r="R864" s="256"/>
      <c r="S864" s="256"/>
      <c r="T864" s="256"/>
      <c r="U864" s="256"/>
      <c r="V864" s="256"/>
      <c r="W864" s="256"/>
      <c r="X864" s="256"/>
      <c r="Y864" s="256"/>
      <c r="Z864" s="256"/>
      <c r="AA864" s="256"/>
    </row>
    <row r="865">
      <c r="A865" s="256"/>
      <c r="B865" s="255"/>
      <c r="C865" s="256"/>
      <c r="D865" s="256"/>
      <c r="E865" s="256"/>
      <c r="F865" s="256"/>
      <c r="G865" s="256"/>
      <c r="H865" s="256"/>
      <c r="I865" s="256"/>
      <c r="J865" s="256"/>
      <c r="K865" s="256"/>
      <c r="L865" s="256"/>
      <c r="M865" s="256"/>
      <c r="N865" s="256"/>
      <c r="O865" s="256"/>
      <c r="P865" s="256"/>
      <c r="Q865" s="256"/>
      <c r="R865" s="256"/>
      <c r="S865" s="256"/>
      <c r="T865" s="256"/>
      <c r="U865" s="256"/>
      <c r="V865" s="256"/>
      <c r="W865" s="256"/>
      <c r="X865" s="256"/>
      <c r="Y865" s="256"/>
      <c r="Z865" s="256"/>
      <c r="AA865" s="256"/>
    </row>
    <row r="866">
      <c r="A866" s="256"/>
      <c r="B866" s="255"/>
      <c r="C866" s="256"/>
      <c r="D866" s="256"/>
      <c r="E866" s="256"/>
      <c r="F866" s="256"/>
      <c r="G866" s="256"/>
      <c r="H866" s="256"/>
      <c r="I866" s="256"/>
      <c r="J866" s="256"/>
      <c r="K866" s="256"/>
      <c r="L866" s="256"/>
      <c r="M866" s="256"/>
      <c r="N866" s="256"/>
      <c r="O866" s="256"/>
      <c r="P866" s="256"/>
      <c r="Q866" s="256"/>
      <c r="R866" s="256"/>
      <c r="S866" s="256"/>
      <c r="T866" s="256"/>
      <c r="U866" s="256"/>
      <c r="V866" s="256"/>
      <c r="W866" s="256"/>
      <c r="X866" s="256"/>
      <c r="Y866" s="256"/>
      <c r="Z866" s="256"/>
      <c r="AA866" s="256"/>
    </row>
    <row r="867">
      <c r="A867" s="256"/>
      <c r="B867" s="255"/>
      <c r="C867" s="256"/>
      <c r="D867" s="256"/>
      <c r="E867" s="256"/>
      <c r="F867" s="256"/>
      <c r="G867" s="256"/>
      <c r="H867" s="256"/>
      <c r="I867" s="256"/>
      <c r="J867" s="256"/>
      <c r="K867" s="256"/>
      <c r="L867" s="256"/>
      <c r="M867" s="256"/>
      <c r="N867" s="256"/>
      <c r="O867" s="256"/>
      <c r="P867" s="256"/>
      <c r="Q867" s="256"/>
      <c r="R867" s="256"/>
      <c r="S867" s="256"/>
      <c r="T867" s="256"/>
      <c r="U867" s="256"/>
      <c r="V867" s="256"/>
      <c r="W867" s="256"/>
      <c r="X867" s="256"/>
      <c r="Y867" s="256"/>
      <c r="Z867" s="256"/>
      <c r="AA867" s="256"/>
    </row>
    <row r="868">
      <c r="A868" s="256"/>
      <c r="B868" s="255"/>
      <c r="C868" s="256"/>
      <c r="D868" s="256"/>
      <c r="E868" s="256"/>
      <c r="F868" s="256"/>
      <c r="G868" s="256"/>
      <c r="H868" s="256"/>
      <c r="I868" s="256"/>
      <c r="J868" s="256"/>
      <c r="K868" s="256"/>
      <c r="L868" s="256"/>
      <c r="M868" s="256"/>
      <c r="N868" s="256"/>
      <c r="O868" s="256"/>
      <c r="P868" s="256"/>
      <c r="Q868" s="256"/>
      <c r="R868" s="256"/>
      <c r="S868" s="256"/>
      <c r="T868" s="256"/>
      <c r="U868" s="256"/>
      <c r="V868" s="256"/>
      <c r="W868" s="256"/>
      <c r="X868" s="256"/>
      <c r="Y868" s="256"/>
      <c r="Z868" s="256"/>
      <c r="AA868" s="256"/>
    </row>
    <row r="869">
      <c r="A869" s="256"/>
      <c r="B869" s="255"/>
      <c r="C869" s="256"/>
      <c r="D869" s="256"/>
      <c r="E869" s="256"/>
      <c r="F869" s="256"/>
      <c r="G869" s="256"/>
      <c r="H869" s="256"/>
      <c r="I869" s="256"/>
      <c r="J869" s="256"/>
      <c r="K869" s="256"/>
      <c r="L869" s="256"/>
      <c r="M869" s="256"/>
      <c r="N869" s="256"/>
      <c r="O869" s="256"/>
      <c r="P869" s="256"/>
      <c r="Q869" s="256"/>
      <c r="R869" s="256"/>
      <c r="S869" s="256"/>
      <c r="T869" s="256"/>
      <c r="U869" s="256"/>
      <c r="V869" s="256"/>
      <c r="W869" s="256"/>
      <c r="X869" s="256"/>
      <c r="Y869" s="256"/>
      <c r="Z869" s="256"/>
      <c r="AA869" s="256"/>
    </row>
    <row r="870">
      <c r="A870" s="256"/>
      <c r="B870" s="255"/>
      <c r="C870" s="256"/>
      <c r="D870" s="256"/>
      <c r="E870" s="256"/>
      <c r="F870" s="256"/>
      <c r="G870" s="256"/>
      <c r="H870" s="256"/>
      <c r="I870" s="256"/>
      <c r="J870" s="256"/>
      <c r="K870" s="256"/>
      <c r="L870" s="256"/>
      <c r="M870" s="256"/>
      <c r="N870" s="256"/>
      <c r="O870" s="256"/>
      <c r="P870" s="256"/>
      <c r="Q870" s="256"/>
      <c r="R870" s="256"/>
      <c r="S870" s="256"/>
      <c r="T870" s="256"/>
      <c r="U870" s="256"/>
      <c r="V870" s="256"/>
      <c r="W870" s="256"/>
      <c r="X870" s="256"/>
      <c r="Y870" s="256"/>
      <c r="Z870" s="256"/>
      <c r="AA870" s="256"/>
    </row>
    <row r="871">
      <c r="A871" s="256"/>
      <c r="B871" s="255"/>
      <c r="C871" s="256"/>
      <c r="D871" s="256"/>
      <c r="E871" s="256"/>
      <c r="F871" s="256"/>
      <c r="G871" s="256"/>
      <c r="H871" s="256"/>
      <c r="I871" s="256"/>
      <c r="J871" s="256"/>
      <c r="K871" s="256"/>
      <c r="L871" s="256"/>
      <c r="M871" s="256"/>
      <c r="N871" s="256"/>
      <c r="O871" s="256"/>
      <c r="P871" s="256"/>
      <c r="Q871" s="256"/>
      <c r="R871" s="256"/>
      <c r="S871" s="256"/>
      <c r="T871" s="256"/>
      <c r="U871" s="256"/>
      <c r="V871" s="256"/>
      <c r="W871" s="256"/>
      <c r="X871" s="256"/>
      <c r="Y871" s="256"/>
      <c r="Z871" s="256"/>
      <c r="AA871" s="256"/>
    </row>
    <row r="872">
      <c r="A872" s="256"/>
      <c r="B872" s="255"/>
      <c r="C872" s="256"/>
      <c r="D872" s="256"/>
      <c r="E872" s="256"/>
      <c r="F872" s="256"/>
      <c r="G872" s="256"/>
      <c r="H872" s="256"/>
      <c r="I872" s="256"/>
      <c r="J872" s="256"/>
      <c r="K872" s="256"/>
      <c r="L872" s="256"/>
      <c r="M872" s="256"/>
      <c r="N872" s="256"/>
      <c r="O872" s="256"/>
      <c r="P872" s="256"/>
      <c r="Q872" s="256"/>
      <c r="R872" s="256"/>
      <c r="S872" s="256"/>
      <c r="T872" s="256"/>
      <c r="U872" s="256"/>
      <c r="V872" s="256"/>
      <c r="W872" s="256"/>
      <c r="X872" s="256"/>
      <c r="Y872" s="256"/>
      <c r="Z872" s="256"/>
      <c r="AA872" s="256"/>
    </row>
    <row r="873">
      <c r="A873" s="256"/>
      <c r="B873" s="255"/>
      <c r="C873" s="256"/>
      <c r="D873" s="256"/>
      <c r="E873" s="256"/>
      <c r="F873" s="256"/>
      <c r="G873" s="256"/>
      <c r="H873" s="256"/>
      <c r="I873" s="256"/>
      <c r="J873" s="256"/>
      <c r="K873" s="256"/>
      <c r="L873" s="256"/>
      <c r="M873" s="256"/>
      <c r="N873" s="256"/>
      <c r="O873" s="256"/>
      <c r="P873" s="256"/>
      <c r="Q873" s="256"/>
      <c r="R873" s="256"/>
      <c r="S873" s="256"/>
      <c r="T873" s="256"/>
      <c r="U873" s="256"/>
      <c r="V873" s="256"/>
      <c r="W873" s="256"/>
      <c r="X873" s="256"/>
      <c r="Y873" s="256"/>
      <c r="Z873" s="256"/>
      <c r="AA873" s="256"/>
    </row>
    <row r="874">
      <c r="A874" s="256"/>
      <c r="B874" s="255"/>
      <c r="C874" s="256"/>
      <c r="D874" s="256"/>
      <c r="E874" s="256"/>
      <c r="F874" s="256"/>
      <c r="G874" s="256"/>
      <c r="H874" s="256"/>
      <c r="I874" s="256"/>
      <c r="J874" s="256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  <c r="W874" s="256"/>
      <c r="X874" s="256"/>
      <c r="Y874" s="256"/>
      <c r="Z874" s="256"/>
      <c r="AA874" s="256"/>
    </row>
    <row r="875">
      <c r="A875" s="256"/>
      <c r="B875" s="255"/>
      <c r="C875" s="256"/>
      <c r="D875" s="256"/>
      <c r="E875" s="256"/>
      <c r="F875" s="256"/>
      <c r="G875" s="256"/>
      <c r="H875" s="256"/>
      <c r="I875" s="256"/>
      <c r="J875" s="256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W875" s="256"/>
      <c r="X875" s="256"/>
      <c r="Y875" s="256"/>
      <c r="Z875" s="256"/>
      <c r="AA875" s="256"/>
    </row>
    <row r="876">
      <c r="A876" s="256"/>
      <c r="B876" s="255"/>
      <c r="C876" s="256"/>
      <c r="D876" s="256"/>
      <c r="E876" s="256"/>
      <c r="F876" s="256"/>
      <c r="G876" s="256"/>
      <c r="H876" s="256"/>
      <c r="I876" s="256"/>
      <c r="J876" s="256"/>
      <c r="K876" s="256"/>
      <c r="L876" s="256"/>
      <c r="M876" s="256"/>
      <c r="N876" s="256"/>
      <c r="O876" s="256"/>
      <c r="P876" s="256"/>
      <c r="Q876" s="256"/>
      <c r="R876" s="256"/>
      <c r="S876" s="256"/>
      <c r="T876" s="256"/>
      <c r="U876" s="256"/>
      <c r="V876" s="256"/>
      <c r="W876" s="256"/>
      <c r="X876" s="256"/>
      <c r="Y876" s="256"/>
      <c r="Z876" s="256"/>
      <c r="AA876" s="256"/>
    </row>
    <row r="877">
      <c r="A877" s="256"/>
      <c r="B877" s="255"/>
      <c r="C877" s="256"/>
      <c r="D877" s="256"/>
      <c r="E877" s="256"/>
      <c r="F877" s="256"/>
      <c r="G877" s="256"/>
      <c r="H877" s="256"/>
      <c r="I877" s="256"/>
      <c r="J877" s="256"/>
      <c r="K877" s="256"/>
      <c r="L877" s="256"/>
      <c r="M877" s="256"/>
      <c r="N877" s="256"/>
      <c r="O877" s="256"/>
      <c r="P877" s="256"/>
      <c r="Q877" s="256"/>
      <c r="R877" s="256"/>
      <c r="S877" s="256"/>
      <c r="T877" s="256"/>
      <c r="U877" s="256"/>
      <c r="V877" s="256"/>
      <c r="W877" s="256"/>
      <c r="X877" s="256"/>
      <c r="Y877" s="256"/>
      <c r="Z877" s="256"/>
      <c r="AA877" s="256"/>
    </row>
    <row r="878">
      <c r="A878" s="256"/>
      <c r="B878" s="255"/>
      <c r="C878" s="256"/>
      <c r="D878" s="256"/>
      <c r="E878" s="256"/>
      <c r="F878" s="256"/>
      <c r="G878" s="256"/>
      <c r="H878" s="256"/>
      <c r="I878" s="256"/>
      <c r="J878" s="256"/>
      <c r="K878" s="256"/>
      <c r="L878" s="256"/>
      <c r="M878" s="256"/>
      <c r="N878" s="256"/>
      <c r="O878" s="256"/>
      <c r="P878" s="256"/>
      <c r="Q878" s="256"/>
      <c r="R878" s="256"/>
      <c r="S878" s="256"/>
      <c r="T878" s="256"/>
      <c r="U878" s="256"/>
      <c r="V878" s="256"/>
      <c r="W878" s="256"/>
      <c r="X878" s="256"/>
      <c r="Y878" s="256"/>
      <c r="Z878" s="256"/>
      <c r="AA878" s="256"/>
    </row>
    <row r="879">
      <c r="A879" s="256"/>
      <c r="B879" s="255"/>
      <c r="C879" s="256"/>
      <c r="D879" s="256"/>
      <c r="E879" s="256"/>
      <c r="F879" s="256"/>
      <c r="G879" s="256"/>
      <c r="H879" s="256"/>
      <c r="I879" s="256"/>
      <c r="J879" s="256"/>
      <c r="K879" s="256"/>
      <c r="L879" s="256"/>
      <c r="M879" s="256"/>
      <c r="N879" s="256"/>
      <c r="O879" s="256"/>
      <c r="P879" s="256"/>
      <c r="Q879" s="256"/>
      <c r="R879" s="256"/>
      <c r="S879" s="256"/>
      <c r="T879" s="256"/>
      <c r="U879" s="256"/>
      <c r="V879" s="256"/>
      <c r="W879" s="256"/>
      <c r="X879" s="256"/>
      <c r="Y879" s="256"/>
      <c r="Z879" s="256"/>
      <c r="AA879" s="256"/>
    </row>
    <row r="880">
      <c r="A880" s="256"/>
      <c r="B880" s="255"/>
      <c r="C880" s="256"/>
      <c r="D880" s="256"/>
      <c r="E880" s="256"/>
      <c r="F880" s="256"/>
      <c r="G880" s="256"/>
      <c r="H880" s="256"/>
      <c r="I880" s="256"/>
      <c r="J880" s="256"/>
      <c r="K880" s="256"/>
      <c r="L880" s="256"/>
      <c r="M880" s="256"/>
      <c r="N880" s="256"/>
      <c r="O880" s="256"/>
      <c r="P880" s="256"/>
      <c r="Q880" s="256"/>
      <c r="R880" s="256"/>
      <c r="S880" s="256"/>
      <c r="T880" s="256"/>
      <c r="U880" s="256"/>
      <c r="V880" s="256"/>
      <c r="W880" s="256"/>
      <c r="X880" s="256"/>
      <c r="Y880" s="256"/>
      <c r="Z880" s="256"/>
      <c r="AA880" s="256"/>
    </row>
    <row r="881">
      <c r="A881" s="256"/>
      <c r="B881" s="255"/>
      <c r="C881" s="256"/>
      <c r="D881" s="256"/>
      <c r="E881" s="256"/>
      <c r="F881" s="256"/>
      <c r="G881" s="256"/>
      <c r="H881" s="256"/>
      <c r="I881" s="256"/>
      <c r="J881" s="256"/>
      <c r="K881" s="256"/>
      <c r="L881" s="256"/>
      <c r="M881" s="256"/>
      <c r="N881" s="256"/>
      <c r="O881" s="256"/>
      <c r="P881" s="256"/>
      <c r="Q881" s="256"/>
      <c r="R881" s="256"/>
      <c r="S881" s="256"/>
      <c r="T881" s="256"/>
      <c r="U881" s="256"/>
      <c r="V881" s="256"/>
      <c r="W881" s="256"/>
      <c r="X881" s="256"/>
      <c r="Y881" s="256"/>
      <c r="Z881" s="256"/>
      <c r="AA881" s="256"/>
    </row>
    <row r="882">
      <c r="A882" s="256"/>
      <c r="B882" s="255"/>
      <c r="C882" s="256"/>
      <c r="D882" s="256"/>
      <c r="E882" s="256"/>
      <c r="F882" s="256"/>
      <c r="G882" s="256"/>
      <c r="H882" s="256"/>
      <c r="I882" s="256"/>
      <c r="J882" s="256"/>
      <c r="K882" s="256"/>
      <c r="L882" s="256"/>
      <c r="M882" s="256"/>
      <c r="N882" s="256"/>
      <c r="O882" s="256"/>
      <c r="P882" s="256"/>
      <c r="Q882" s="256"/>
      <c r="R882" s="256"/>
      <c r="S882" s="256"/>
      <c r="T882" s="256"/>
      <c r="U882" s="256"/>
      <c r="V882" s="256"/>
      <c r="W882" s="256"/>
      <c r="X882" s="256"/>
      <c r="Y882" s="256"/>
      <c r="Z882" s="256"/>
      <c r="AA882" s="256"/>
    </row>
    <row r="883">
      <c r="A883" s="256"/>
      <c r="B883" s="255"/>
      <c r="C883" s="256"/>
      <c r="D883" s="256"/>
      <c r="E883" s="256"/>
      <c r="F883" s="256"/>
      <c r="G883" s="256"/>
      <c r="H883" s="256"/>
      <c r="I883" s="256"/>
      <c r="J883" s="256"/>
      <c r="K883" s="256"/>
      <c r="L883" s="256"/>
      <c r="M883" s="256"/>
      <c r="N883" s="256"/>
      <c r="O883" s="256"/>
      <c r="P883" s="256"/>
      <c r="Q883" s="256"/>
      <c r="R883" s="256"/>
      <c r="S883" s="256"/>
      <c r="T883" s="256"/>
      <c r="U883" s="256"/>
      <c r="V883" s="256"/>
      <c r="W883" s="256"/>
      <c r="X883" s="256"/>
      <c r="Y883" s="256"/>
      <c r="Z883" s="256"/>
      <c r="AA883" s="256"/>
    </row>
    <row r="884">
      <c r="A884" s="256"/>
      <c r="B884" s="255"/>
      <c r="C884" s="256"/>
      <c r="D884" s="256"/>
      <c r="E884" s="256"/>
      <c r="F884" s="256"/>
      <c r="G884" s="256"/>
      <c r="H884" s="256"/>
      <c r="I884" s="256"/>
      <c r="J884" s="256"/>
      <c r="K884" s="256"/>
      <c r="L884" s="256"/>
      <c r="M884" s="256"/>
      <c r="N884" s="256"/>
      <c r="O884" s="256"/>
      <c r="P884" s="256"/>
      <c r="Q884" s="256"/>
      <c r="R884" s="256"/>
      <c r="S884" s="256"/>
      <c r="T884" s="256"/>
      <c r="U884" s="256"/>
      <c r="V884" s="256"/>
      <c r="W884" s="256"/>
      <c r="X884" s="256"/>
      <c r="Y884" s="256"/>
      <c r="Z884" s="256"/>
      <c r="AA884" s="256"/>
    </row>
    <row r="885">
      <c r="A885" s="256"/>
      <c r="B885" s="255"/>
      <c r="C885" s="256"/>
      <c r="D885" s="256"/>
      <c r="E885" s="256"/>
      <c r="F885" s="256"/>
      <c r="G885" s="256"/>
      <c r="H885" s="256"/>
      <c r="I885" s="256"/>
      <c r="J885" s="256"/>
      <c r="K885" s="256"/>
      <c r="L885" s="256"/>
      <c r="M885" s="256"/>
      <c r="N885" s="256"/>
      <c r="O885" s="256"/>
      <c r="P885" s="256"/>
      <c r="Q885" s="256"/>
      <c r="R885" s="256"/>
      <c r="S885" s="256"/>
      <c r="T885" s="256"/>
      <c r="U885" s="256"/>
      <c r="V885" s="256"/>
      <c r="W885" s="256"/>
      <c r="X885" s="256"/>
      <c r="Y885" s="256"/>
      <c r="Z885" s="256"/>
      <c r="AA885" s="256"/>
    </row>
    <row r="886">
      <c r="A886" s="256"/>
      <c r="B886" s="255"/>
      <c r="C886" s="256"/>
      <c r="D886" s="256"/>
      <c r="E886" s="256"/>
      <c r="F886" s="256"/>
      <c r="G886" s="256"/>
      <c r="H886" s="256"/>
      <c r="I886" s="256"/>
      <c r="J886" s="256"/>
      <c r="K886" s="256"/>
      <c r="L886" s="256"/>
      <c r="M886" s="256"/>
      <c r="N886" s="256"/>
      <c r="O886" s="256"/>
      <c r="P886" s="256"/>
      <c r="Q886" s="256"/>
      <c r="R886" s="256"/>
      <c r="S886" s="256"/>
      <c r="T886" s="256"/>
      <c r="U886" s="256"/>
      <c r="V886" s="256"/>
      <c r="W886" s="256"/>
      <c r="X886" s="256"/>
      <c r="Y886" s="256"/>
      <c r="Z886" s="256"/>
      <c r="AA886" s="256"/>
    </row>
    <row r="887">
      <c r="A887" s="256"/>
      <c r="B887" s="255"/>
      <c r="C887" s="256"/>
      <c r="D887" s="256"/>
      <c r="E887" s="256"/>
      <c r="F887" s="256"/>
      <c r="G887" s="256"/>
      <c r="H887" s="256"/>
      <c r="I887" s="256"/>
      <c r="J887" s="256"/>
      <c r="K887" s="256"/>
      <c r="L887" s="256"/>
      <c r="M887" s="256"/>
      <c r="N887" s="256"/>
      <c r="O887" s="256"/>
      <c r="P887" s="256"/>
      <c r="Q887" s="256"/>
      <c r="R887" s="256"/>
      <c r="S887" s="256"/>
      <c r="T887" s="256"/>
      <c r="U887" s="256"/>
      <c r="V887" s="256"/>
      <c r="W887" s="256"/>
      <c r="X887" s="256"/>
      <c r="Y887" s="256"/>
      <c r="Z887" s="256"/>
      <c r="AA887" s="256"/>
    </row>
    <row r="888">
      <c r="A888" s="256"/>
      <c r="B888" s="255"/>
      <c r="C888" s="256"/>
      <c r="D888" s="256"/>
      <c r="E888" s="256"/>
      <c r="F888" s="256"/>
      <c r="G888" s="256"/>
      <c r="H888" s="256"/>
      <c r="I888" s="256"/>
      <c r="J888" s="256"/>
      <c r="K888" s="256"/>
      <c r="L888" s="256"/>
      <c r="M888" s="256"/>
      <c r="N888" s="256"/>
      <c r="O888" s="256"/>
      <c r="P888" s="256"/>
      <c r="Q888" s="256"/>
      <c r="R888" s="256"/>
      <c r="S888" s="256"/>
      <c r="T888" s="256"/>
      <c r="U888" s="256"/>
      <c r="V888" s="256"/>
      <c r="W888" s="256"/>
      <c r="X888" s="256"/>
      <c r="Y888" s="256"/>
      <c r="Z888" s="256"/>
      <c r="AA888" s="256"/>
    </row>
    <row r="889">
      <c r="A889" s="256"/>
      <c r="B889" s="255"/>
      <c r="C889" s="256"/>
      <c r="D889" s="256"/>
      <c r="E889" s="256"/>
      <c r="F889" s="256"/>
      <c r="G889" s="256"/>
      <c r="H889" s="256"/>
      <c r="I889" s="256"/>
      <c r="J889" s="256"/>
      <c r="K889" s="256"/>
      <c r="L889" s="256"/>
      <c r="M889" s="256"/>
      <c r="N889" s="256"/>
      <c r="O889" s="256"/>
      <c r="P889" s="256"/>
      <c r="Q889" s="256"/>
      <c r="R889" s="256"/>
      <c r="S889" s="256"/>
      <c r="T889" s="256"/>
      <c r="U889" s="256"/>
      <c r="V889" s="256"/>
      <c r="W889" s="256"/>
      <c r="X889" s="256"/>
      <c r="Y889" s="256"/>
      <c r="Z889" s="256"/>
      <c r="AA889" s="256"/>
    </row>
    <row r="890">
      <c r="A890" s="256"/>
      <c r="B890" s="255"/>
      <c r="C890" s="256"/>
      <c r="D890" s="256"/>
      <c r="E890" s="256"/>
      <c r="F890" s="256"/>
      <c r="G890" s="256"/>
      <c r="H890" s="256"/>
      <c r="I890" s="256"/>
      <c r="J890" s="256"/>
      <c r="K890" s="256"/>
      <c r="L890" s="256"/>
      <c r="M890" s="256"/>
      <c r="N890" s="256"/>
      <c r="O890" s="256"/>
      <c r="P890" s="256"/>
      <c r="Q890" s="256"/>
      <c r="R890" s="256"/>
      <c r="S890" s="256"/>
      <c r="T890" s="256"/>
      <c r="U890" s="256"/>
      <c r="V890" s="256"/>
      <c r="W890" s="256"/>
      <c r="X890" s="256"/>
      <c r="Y890" s="256"/>
      <c r="Z890" s="256"/>
      <c r="AA890" s="256"/>
    </row>
    <row r="891">
      <c r="A891" s="256"/>
      <c r="B891" s="255"/>
      <c r="C891" s="256"/>
      <c r="D891" s="256"/>
      <c r="E891" s="256"/>
      <c r="F891" s="256"/>
      <c r="G891" s="256"/>
      <c r="H891" s="256"/>
      <c r="I891" s="256"/>
      <c r="J891" s="256"/>
      <c r="K891" s="256"/>
      <c r="L891" s="256"/>
      <c r="M891" s="256"/>
      <c r="N891" s="256"/>
      <c r="O891" s="256"/>
      <c r="P891" s="256"/>
      <c r="Q891" s="256"/>
      <c r="R891" s="256"/>
      <c r="S891" s="256"/>
      <c r="T891" s="256"/>
      <c r="U891" s="256"/>
      <c r="V891" s="256"/>
      <c r="W891" s="256"/>
      <c r="X891" s="256"/>
      <c r="Y891" s="256"/>
      <c r="Z891" s="256"/>
      <c r="AA891" s="256"/>
    </row>
    <row r="892">
      <c r="A892" s="256"/>
      <c r="B892" s="255"/>
      <c r="C892" s="256"/>
      <c r="D892" s="256"/>
      <c r="E892" s="256"/>
      <c r="F892" s="256"/>
      <c r="G892" s="256"/>
      <c r="H892" s="256"/>
      <c r="I892" s="256"/>
      <c r="J892" s="256"/>
      <c r="K892" s="256"/>
      <c r="L892" s="256"/>
      <c r="M892" s="256"/>
      <c r="N892" s="256"/>
      <c r="O892" s="256"/>
      <c r="P892" s="256"/>
      <c r="Q892" s="256"/>
      <c r="R892" s="256"/>
      <c r="S892" s="256"/>
      <c r="T892" s="256"/>
      <c r="U892" s="256"/>
      <c r="V892" s="256"/>
      <c r="W892" s="256"/>
      <c r="X892" s="256"/>
      <c r="Y892" s="256"/>
      <c r="Z892" s="256"/>
      <c r="AA892" s="256"/>
    </row>
    <row r="893">
      <c r="A893" s="256"/>
      <c r="B893" s="255"/>
      <c r="C893" s="256"/>
      <c r="D893" s="256"/>
      <c r="E893" s="256"/>
      <c r="F893" s="256"/>
      <c r="G893" s="256"/>
      <c r="H893" s="256"/>
      <c r="I893" s="256"/>
      <c r="J893" s="256"/>
      <c r="K893" s="256"/>
      <c r="L893" s="256"/>
      <c r="M893" s="256"/>
      <c r="N893" s="256"/>
      <c r="O893" s="256"/>
      <c r="P893" s="256"/>
      <c r="Q893" s="256"/>
      <c r="R893" s="256"/>
      <c r="S893" s="256"/>
      <c r="T893" s="256"/>
      <c r="U893" s="256"/>
      <c r="V893" s="256"/>
      <c r="W893" s="256"/>
      <c r="X893" s="256"/>
      <c r="Y893" s="256"/>
      <c r="Z893" s="256"/>
      <c r="AA893" s="256"/>
    </row>
    <row r="894">
      <c r="A894" s="256"/>
      <c r="B894" s="255"/>
      <c r="C894" s="256"/>
      <c r="D894" s="256"/>
      <c r="E894" s="256"/>
      <c r="F894" s="256"/>
      <c r="G894" s="256"/>
      <c r="H894" s="256"/>
      <c r="I894" s="256"/>
      <c r="J894" s="256"/>
      <c r="K894" s="256"/>
      <c r="L894" s="256"/>
      <c r="M894" s="256"/>
      <c r="N894" s="256"/>
      <c r="O894" s="256"/>
      <c r="P894" s="256"/>
      <c r="Q894" s="256"/>
      <c r="R894" s="256"/>
      <c r="S894" s="256"/>
      <c r="T894" s="256"/>
      <c r="U894" s="256"/>
      <c r="V894" s="256"/>
      <c r="W894" s="256"/>
      <c r="X894" s="256"/>
      <c r="Y894" s="256"/>
      <c r="Z894" s="256"/>
      <c r="AA894" s="256"/>
    </row>
    <row r="895">
      <c r="A895" s="256"/>
      <c r="B895" s="255"/>
      <c r="C895" s="256"/>
      <c r="D895" s="256"/>
      <c r="E895" s="256"/>
      <c r="F895" s="256"/>
      <c r="G895" s="256"/>
      <c r="H895" s="256"/>
      <c r="I895" s="256"/>
      <c r="J895" s="256"/>
      <c r="K895" s="256"/>
      <c r="L895" s="256"/>
      <c r="M895" s="256"/>
      <c r="N895" s="256"/>
      <c r="O895" s="256"/>
      <c r="P895" s="256"/>
      <c r="Q895" s="256"/>
      <c r="R895" s="256"/>
      <c r="S895" s="256"/>
      <c r="T895" s="256"/>
      <c r="U895" s="256"/>
      <c r="V895" s="256"/>
      <c r="W895" s="256"/>
      <c r="X895" s="256"/>
      <c r="Y895" s="256"/>
      <c r="Z895" s="256"/>
      <c r="AA895" s="256"/>
    </row>
    <row r="896">
      <c r="A896" s="256"/>
      <c r="B896" s="255"/>
      <c r="C896" s="256"/>
      <c r="D896" s="256"/>
      <c r="E896" s="256"/>
      <c r="F896" s="256"/>
      <c r="G896" s="256"/>
      <c r="H896" s="256"/>
      <c r="I896" s="256"/>
      <c r="J896" s="256"/>
      <c r="K896" s="256"/>
      <c r="L896" s="256"/>
      <c r="M896" s="256"/>
      <c r="N896" s="256"/>
      <c r="O896" s="256"/>
      <c r="P896" s="256"/>
      <c r="Q896" s="256"/>
      <c r="R896" s="256"/>
      <c r="S896" s="256"/>
      <c r="T896" s="256"/>
      <c r="U896" s="256"/>
      <c r="V896" s="256"/>
      <c r="W896" s="256"/>
      <c r="X896" s="256"/>
      <c r="Y896" s="256"/>
      <c r="Z896" s="256"/>
      <c r="AA896" s="256"/>
    </row>
    <row r="897">
      <c r="A897" s="256"/>
      <c r="B897" s="255"/>
      <c r="C897" s="256"/>
      <c r="D897" s="256"/>
      <c r="E897" s="256"/>
      <c r="F897" s="256"/>
      <c r="G897" s="256"/>
      <c r="H897" s="256"/>
      <c r="I897" s="256"/>
      <c r="J897" s="256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W897" s="256"/>
      <c r="X897" s="256"/>
      <c r="Y897" s="256"/>
      <c r="Z897" s="256"/>
      <c r="AA897" s="256"/>
    </row>
    <row r="898">
      <c r="A898" s="256"/>
      <c r="B898" s="255"/>
      <c r="C898" s="256"/>
      <c r="D898" s="256"/>
      <c r="E898" s="256"/>
      <c r="F898" s="256"/>
      <c r="G898" s="256"/>
      <c r="H898" s="256"/>
      <c r="I898" s="256"/>
      <c r="J898" s="256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W898" s="256"/>
      <c r="X898" s="256"/>
      <c r="Y898" s="256"/>
      <c r="Z898" s="256"/>
      <c r="AA898" s="256"/>
    </row>
    <row r="899">
      <c r="A899" s="256"/>
      <c r="B899" s="255"/>
      <c r="C899" s="256"/>
      <c r="D899" s="256"/>
      <c r="E899" s="256"/>
      <c r="F899" s="256"/>
      <c r="G899" s="256"/>
      <c r="H899" s="256"/>
      <c r="I899" s="256"/>
      <c r="J899" s="256"/>
      <c r="K899" s="256"/>
      <c r="L899" s="256"/>
      <c r="M899" s="256"/>
      <c r="N899" s="256"/>
      <c r="O899" s="256"/>
      <c r="P899" s="256"/>
      <c r="Q899" s="256"/>
      <c r="R899" s="256"/>
      <c r="S899" s="256"/>
      <c r="T899" s="256"/>
      <c r="U899" s="256"/>
      <c r="V899" s="256"/>
      <c r="W899" s="256"/>
      <c r="X899" s="256"/>
      <c r="Y899" s="256"/>
      <c r="Z899" s="256"/>
      <c r="AA899" s="256"/>
    </row>
    <row r="900">
      <c r="A900" s="256"/>
      <c r="B900" s="255"/>
      <c r="C900" s="256"/>
      <c r="D900" s="256"/>
      <c r="E900" s="256"/>
      <c r="F900" s="256"/>
      <c r="G900" s="256"/>
      <c r="H900" s="256"/>
      <c r="I900" s="256"/>
      <c r="J900" s="256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  <c r="AA900" s="256"/>
    </row>
    <row r="901">
      <c r="A901" s="256"/>
      <c r="B901" s="255"/>
      <c r="C901" s="256"/>
      <c r="D901" s="256"/>
      <c r="E901" s="256"/>
      <c r="F901" s="256"/>
      <c r="G901" s="256"/>
      <c r="H901" s="256"/>
      <c r="I901" s="256"/>
      <c r="J901" s="256"/>
      <c r="K901" s="256"/>
      <c r="L901" s="256"/>
      <c r="M901" s="256"/>
      <c r="N901" s="256"/>
      <c r="O901" s="256"/>
      <c r="P901" s="256"/>
      <c r="Q901" s="256"/>
      <c r="R901" s="256"/>
      <c r="S901" s="256"/>
      <c r="T901" s="256"/>
      <c r="U901" s="256"/>
      <c r="V901" s="256"/>
      <c r="W901" s="256"/>
      <c r="X901" s="256"/>
      <c r="Y901" s="256"/>
      <c r="Z901" s="256"/>
      <c r="AA901" s="256"/>
    </row>
    <row r="902">
      <c r="A902" s="256"/>
      <c r="B902" s="255"/>
      <c r="C902" s="256"/>
      <c r="D902" s="256"/>
      <c r="E902" s="256"/>
      <c r="F902" s="256"/>
      <c r="G902" s="256"/>
      <c r="H902" s="256"/>
      <c r="I902" s="256"/>
      <c r="J902" s="256"/>
      <c r="K902" s="256"/>
      <c r="L902" s="256"/>
      <c r="M902" s="256"/>
      <c r="N902" s="256"/>
      <c r="O902" s="256"/>
      <c r="P902" s="256"/>
      <c r="Q902" s="256"/>
      <c r="R902" s="256"/>
      <c r="S902" s="256"/>
      <c r="T902" s="256"/>
      <c r="U902" s="256"/>
      <c r="V902" s="256"/>
      <c r="W902" s="256"/>
      <c r="X902" s="256"/>
      <c r="Y902" s="256"/>
      <c r="Z902" s="256"/>
      <c r="AA902" s="256"/>
    </row>
    <row r="903">
      <c r="A903" s="256"/>
      <c r="B903" s="255"/>
      <c r="C903" s="256"/>
      <c r="D903" s="256"/>
      <c r="E903" s="256"/>
      <c r="F903" s="256"/>
      <c r="G903" s="256"/>
      <c r="H903" s="256"/>
      <c r="I903" s="256"/>
      <c r="J903" s="256"/>
      <c r="K903" s="256"/>
      <c r="L903" s="256"/>
      <c r="M903" s="256"/>
      <c r="N903" s="256"/>
      <c r="O903" s="256"/>
      <c r="P903" s="256"/>
      <c r="Q903" s="256"/>
      <c r="R903" s="256"/>
      <c r="S903" s="256"/>
      <c r="T903" s="256"/>
      <c r="U903" s="256"/>
      <c r="V903" s="256"/>
      <c r="W903" s="256"/>
      <c r="X903" s="256"/>
      <c r="Y903" s="256"/>
      <c r="Z903" s="256"/>
      <c r="AA903" s="256"/>
    </row>
    <row r="904">
      <c r="A904" s="256"/>
      <c r="B904" s="255"/>
      <c r="C904" s="256"/>
      <c r="D904" s="256"/>
      <c r="E904" s="256"/>
      <c r="F904" s="256"/>
      <c r="G904" s="256"/>
      <c r="H904" s="256"/>
      <c r="I904" s="256"/>
      <c r="J904" s="256"/>
      <c r="K904" s="256"/>
      <c r="L904" s="256"/>
      <c r="M904" s="256"/>
      <c r="N904" s="256"/>
      <c r="O904" s="256"/>
      <c r="P904" s="256"/>
      <c r="Q904" s="256"/>
      <c r="R904" s="256"/>
      <c r="S904" s="256"/>
      <c r="T904" s="256"/>
      <c r="U904" s="256"/>
      <c r="V904" s="256"/>
      <c r="W904" s="256"/>
      <c r="X904" s="256"/>
      <c r="Y904" s="256"/>
      <c r="Z904" s="256"/>
      <c r="AA904" s="256"/>
    </row>
    <row r="905">
      <c r="A905" s="256"/>
      <c r="B905" s="255"/>
      <c r="C905" s="256"/>
      <c r="D905" s="256"/>
      <c r="E905" s="256"/>
      <c r="F905" s="256"/>
      <c r="G905" s="256"/>
      <c r="H905" s="256"/>
      <c r="I905" s="256"/>
      <c r="J905" s="256"/>
      <c r="K905" s="256"/>
      <c r="L905" s="256"/>
      <c r="M905" s="256"/>
      <c r="N905" s="256"/>
      <c r="O905" s="256"/>
      <c r="P905" s="256"/>
      <c r="Q905" s="256"/>
      <c r="R905" s="256"/>
      <c r="S905" s="256"/>
      <c r="T905" s="256"/>
      <c r="U905" s="256"/>
      <c r="V905" s="256"/>
      <c r="W905" s="256"/>
      <c r="X905" s="256"/>
      <c r="Y905" s="256"/>
      <c r="Z905" s="256"/>
      <c r="AA905" s="256"/>
    </row>
    <row r="906">
      <c r="A906" s="256"/>
      <c r="B906" s="255"/>
      <c r="C906" s="256"/>
      <c r="D906" s="256"/>
      <c r="E906" s="256"/>
      <c r="F906" s="256"/>
      <c r="G906" s="256"/>
      <c r="H906" s="256"/>
      <c r="I906" s="256"/>
      <c r="J906" s="256"/>
      <c r="K906" s="256"/>
      <c r="L906" s="256"/>
      <c r="M906" s="256"/>
      <c r="N906" s="256"/>
      <c r="O906" s="256"/>
      <c r="P906" s="256"/>
      <c r="Q906" s="256"/>
      <c r="R906" s="256"/>
      <c r="S906" s="256"/>
      <c r="T906" s="256"/>
      <c r="U906" s="256"/>
      <c r="V906" s="256"/>
      <c r="W906" s="256"/>
      <c r="X906" s="256"/>
      <c r="Y906" s="256"/>
      <c r="Z906" s="256"/>
      <c r="AA906" s="256"/>
    </row>
    <row r="907">
      <c r="A907" s="256"/>
      <c r="B907" s="255"/>
      <c r="C907" s="256"/>
      <c r="D907" s="256"/>
      <c r="E907" s="256"/>
      <c r="F907" s="256"/>
      <c r="G907" s="256"/>
      <c r="H907" s="256"/>
      <c r="I907" s="256"/>
      <c r="J907" s="256"/>
      <c r="K907" s="256"/>
      <c r="L907" s="256"/>
      <c r="M907" s="256"/>
      <c r="N907" s="256"/>
      <c r="O907" s="256"/>
      <c r="P907" s="256"/>
      <c r="Q907" s="256"/>
      <c r="R907" s="256"/>
      <c r="S907" s="256"/>
      <c r="T907" s="256"/>
      <c r="U907" s="256"/>
      <c r="V907" s="256"/>
      <c r="W907" s="256"/>
      <c r="X907" s="256"/>
      <c r="Y907" s="256"/>
      <c r="Z907" s="256"/>
      <c r="AA907" s="256"/>
    </row>
    <row r="908">
      <c r="A908" s="256"/>
      <c r="B908" s="255"/>
      <c r="C908" s="256"/>
      <c r="D908" s="256"/>
      <c r="E908" s="256"/>
      <c r="F908" s="256"/>
      <c r="G908" s="256"/>
      <c r="H908" s="256"/>
      <c r="I908" s="256"/>
      <c r="J908" s="256"/>
      <c r="K908" s="256"/>
      <c r="L908" s="256"/>
      <c r="M908" s="256"/>
      <c r="N908" s="256"/>
      <c r="O908" s="256"/>
      <c r="P908" s="256"/>
      <c r="Q908" s="256"/>
      <c r="R908" s="256"/>
      <c r="S908" s="256"/>
      <c r="T908" s="256"/>
      <c r="U908" s="256"/>
      <c r="V908" s="256"/>
      <c r="W908" s="256"/>
      <c r="X908" s="256"/>
      <c r="Y908" s="256"/>
      <c r="Z908" s="256"/>
      <c r="AA908" s="256"/>
    </row>
    <row r="909">
      <c r="A909" s="256"/>
      <c r="B909" s="255"/>
      <c r="C909" s="256"/>
      <c r="D909" s="256"/>
      <c r="E909" s="256"/>
      <c r="F909" s="256"/>
      <c r="G909" s="256"/>
      <c r="H909" s="256"/>
      <c r="I909" s="256"/>
      <c r="J909" s="256"/>
      <c r="K909" s="256"/>
      <c r="L909" s="256"/>
      <c r="M909" s="256"/>
      <c r="N909" s="256"/>
      <c r="O909" s="256"/>
      <c r="P909" s="256"/>
      <c r="Q909" s="256"/>
      <c r="R909" s="256"/>
      <c r="S909" s="256"/>
      <c r="T909" s="256"/>
      <c r="U909" s="256"/>
      <c r="V909" s="256"/>
      <c r="W909" s="256"/>
      <c r="X909" s="256"/>
      <c r="Y909" s="256"/>
      <c r="Z909" s="256"/>
      <c r="AA909" s="256"/>
    </row>
    <row r="910">
      <c r="A910" s="256"/>
      <c r="B910" s="255"/>
      <c r="C910" s="256"/>
      <c r="D910" s="256"/>
      <c r="E910" s="256"/>
      <c r="F910" s="256"/>
      <c r="G910" s="256"/>
      <c r="H910" s="256"/>
      <c r="I910" s="256"/>
      <c r="J910" s="256"/>
      <c r="K910" s="256"/>
      <c r="L910" s="256"/>
      <c r="M910" s="256"/>
      <c r="N910" s="256"/>
      <c r="O910" s="256"/>
      <c r="P910" s="256"/>
      <c r="Q910" s="256"/>
      <c r="R910" s="256"/>
      <c r="S910" s="256"/>
      <c r="T910" s="256"/>
      <c r="U910" s="256"/>
      <c r="V910" s="256"/>
      <c r="W910" s="256"/>
      <c r="X910" s="256"/>
      <c r="Y910" s="256"/>
      <c r="Z910" s="256"/>
      <c r="AA910" s="256"/>
    </row>
    <row r="911">
      <c r="A911" s="256"/>
      <c r="B911" s="255"/>
      <c r="C911" s="256"/>
      <c r="D911" s="256"/>
      <c r="E911" s="256"/>
      <c r="F911" s="256"/>
      <c r="G911" s="256"/>
      <c r="H911" s="256"/>
      <c r="I911" s="256"/>
      <c r="J911" s="256"/>
      <c r="K911" s="256"/>
      <c r="L911" s="256"/>
      <c r="M911" s="256"/>
      <c r="N911" s="256"/>
      <c r="O911" s="256"/>
      <c r="P911" s="256"/>
      <c r="Q911" s="256"/>
      <c r="R911" s="256"/>
      <c r="S911" s="256"/>
      <c r="T911" s="256"/>
      <c r="U911" s="256"/>
      <c r="V911" s="256"/>
      <c r="W911" s="256"/>
      <c r="X911" s="256"/>
      <c r="Y911" s="256"/>
      <c r="Z911" s="256"/>
      <c r="AA911" s="256"/>
    </row>
    <row r="912">
      <c r="A912" s="256"/>
      <c r="B912" s="255"/>
      <c r="C912" s="256"/>
      <c r="D912" s="256"/>
      <c r="E912" s="256"/>
      <c r="F912" s="256"/>
      <c r="G912" s="256"/>
      <c r="H912" s="256"/>
      <c r="I912" s="256"/>
      <c r="J912" s="256"/>
      <c r="K912" s="256"/>
      <c r="L912" s="256"/>
      <c r="M912" s="256"/>
      <c r="N912" s="256"/>
      <c r="O912" s="256"/>
      <c r="P912" s="256"/>
      <c r="Q912" s="256"/>
      <c r="R912" s="256"/>
      <c r="S912" s="256"/>
      <c r="T912" s="256"/>
      <c r="U912" s="256"/>
      <c r="V912" s="256"/>
      <c r="W912" s="256"/>
      <c r="X912" s="256"/>
      <c r="Y912" s="256"/>
      <c r="Z912" s="256"/>
      <c r="AA912" s="256"/>
    </row>
    <row r="913">
      <c r="A913" s="256"/>
      <c r="B913" s="255"/>
      <c r="C913" s="256"/>
      <c r="D913" s="256"/>
      <c r="E913" s="256"/>
      <c r="F913" s="256"/>
      <c r="G913" s="256"/>
      <c r="H913" s="256"/>
      <c r="I913" s="256"/>
      <c r="J913" s="256"/>
      <c r="K913" s="256"/>
      <c r="L913" s="256"/>
      <c r="M913" s="256"/>
      <c r="N913" s="256"/>
      <c r="O913" s="256"/>
      <c r="P913" s="256"/>
      <c r="Q913" s="256"/>
      <c r="R913" s="256"/>
      <c r="S913" s="256"/>
      <c r="T913" s="256"/>
      <c r="U913" s="256"/>
      <c r="V913" s="256"/>
      <c r="W913" s="256"/>
      <c r="X913" s="256"/>
      <c r="Y913" s="256"/>
      <c r="Z913" s="256"/>
      <c r="AA913" s="256"/>
    </row>
    <row r="914">
      <c r="A914" s="256"/>
      <c r="B914" s="255"/>
      <c r="C914" s="256"/>
      <c r="D914" s="256"/>
      <c r="E914" s="256"/>
      <c r="F914" s="256"/>
      <c r="G914" s="256"/>
      <c r="H914" s="256"/>
      <c r="I914" s="256"/>
      <c r="J914" s="256"/>
      <c r="K914" s="256"/>
      <c r="L914" s="256"/>
      <c r="M914" s="256"/>
      <c r="N914" s="256"/>
      <c r="O914" s="256"/>
      <c r="P914" s="256"/>
      <c r="Q914" s="256"/>
      <c r="R914" s="256"/>
      <c r="S914" s="256"/>
      <c r="T914" s="256"/>
      <c r="U914" s="256"/>
      <c r="V914" s="256"/>
      <c r="W914" s="256"/>
      <c r="X914" s="256"/>
      <c r="Y914" s="256"/>
      <c r="Z914" s="256"/>
      <c r="AA914" s="256"/>
    </row>
    <row r="915">
      <c r="A915" s="256"/>
      <c r="B915" s="255"/>
      <c r="C915" s="256"/>
      <c r="D915" s="256"/>
      <c r="E915" s="256"/>
      <c r="F915" s="256"/>
      <c r="G915" s="256"/>
      <c r="H915" s="256"/>
      <c r="I915" s="256"/>
      <c r="J915" s="256"/>
      <c r="K915" s="256"/>
      <c r="L915" s="256"/>
      <c r="M915" s="256"/>
      <c r="N915" s="256"/>
      <c r="O915" s="256"/>
      <c r="P915" s="256"/>
      <c r="Q915" s="256"/>
      <c r="R915" s="256"/>
      <c r="S915" s="256"/>
      <c r="T915" s="256"/>
      <c r="U915" s="256"/>
      <c r="V915" s="256"/>
      <c r="W915" s="256"/>
      <c r="X915" s="256"/>
      <c r="Y915" s="256"/>
      <c r="Z915" s="256"/>
      <c r="AA915" s="256"/>
    </row>
    <row r="916">
      <c r="A916" s="256"/>
      <c r="B916" s="255"/>
      <c r="C916" s="256"/>
      <c r="D916" s="256"/>
      <c r="E916" s="256"/>
      <c r="F916" s="256"/>
      <c r="G916" s="256"/>
      <c r="H916" s="256"/>
      <c r="I916" s="256"/>
      <c r="J916" s="256"/>
      <c r="K916" s="256"/>
      <c r="L916" s="256"/>
      <c r="M916" s="256"/>
      <c r="N916" s="256"/>
      <c r="O916" s="256"/>
      <c r="P916" s="256"/>
      <c r="Q916" s="256"/>
      <c r="R916" s="256"/>
      <c r="S916" s="256"/>
      <c r="T916" s="256"/>
      <c r="U916" s="256"/>
      <c r="V916" s="256"/>
      <c r="W916" s="256"/>
      <c r="X916" s="256"/>
      <c r="Y916" s="256"/>
      <c r="Z916" s="256"/>
      <c r="AA916" s="256"/>
    </row>
    <row r="917">
      <c r="A917" s="256"/>
      <c r="B917" s="255"/>
      <c r="C917" s="256"/>
      <c r="D917" s="256"/>
      <c r="E917" s="256"/>
      <c r="F917" s="256"/>
      <c r="G917" s="256"/>
      <c r="H917" s="256"/>
      <c r="I917" s="256"/>
      <c r="J917" s="256"/>
      <c r="K917" s="256"/>
      <c r="L917" s="256"/>
      <c r="M917" s="256"/>
      <c r="N917" s="256"/>
      <c r="O917" s="256"/>
      <c r="P917" s="256"/>
      <c r="Q917" s="256"/>
      <c r="R917" s="256"/>
      <c r="S917" s="256"/>
      <c r="T917" s="256"/>
      <c r="U917" s="256"/>
      <c r="V917" s="256"/>
      <c r="W917" s="256"/>
      <c r="X917" s="256"/>
      <c r="Y917" s="256"/>
      <c r="Z917" s="256"/>
      <c r="AA917" s="256"/>
    </row>
    <row r="918">
      <c r="A918" s="256"/>
      <c r="B918" s="255"/>
      <c r="C918" s="256"/>
      <c r="D918" s="256"/>
      <c r="E918" s="256"/>
      <c r="F918" s="256"/>
      <c r="G918" s="256"/>
      <c r="H918" s="256"/>
      <c r="I918" s="256"/>
      <c r="J918" s="256"/>
      <c r="K918" s="256"/>
      <c r="L918" s="256"/>
      <c r="M918" s="256"/>
      <c r="N918" s="256"/>
      <c r="O918" s="256"/>
      <c r="P918" s="256"/>
      <c r="Q918" s="256"/>
      <c r="R918" s="256"/>
      <c r="S918" s="256"/>
      <c r="T918" s="256"/>
      <c r="U918" s="256"/>
      <c r="V918" s="256"/>
      <c r="W918" s="256"/>
      <c r="X918" s="256"/>
      <c r="Y918" s="256"/>
      <c r="Z918" s="256"/>
      <c r="AA918" s="256"/>
    </row>
    <row r="919">
      <c r="A919" s="256"/>
      <c r="B919" s="255"/>
      <c r="C919" s="256"/>
      <c r="D919" s="256"/>
      <c r="E919" s="256"/>
      <c r="F919" s="256"/>
      <c r="G919" s="256"/>
      <c r="H919" s="256"/>
      <c r="I919" s="256"/>
      <c r="J919" s="256"/>
      <c r="K919" s="256"/>
      <c r="L919" s="256"/>
      <c r="M919" s="256"/>
      <c r="N919" s="256"/>
      <c r="O919" s="256"/>
      <c r="P919" s="256"/>
      <c r="Q919" s="256"/>
      <c r="R919" s="256"/>
      <c r="S919" s="256"/>
      <c r="T919" s="256"/>
      <c r="U919" s="256"/>
      <c r="V919" s="256"/>
      <c r="W919" s="256"/>
      <c r="X919" s="256"/>
      <c r="Y919" s="256"/>
      <c r="Z919" s="256"/>
      <c r="AA919" s="256"/>
    </row>
    <row r="920">
      <c r="A920" s="256"/>
      <c r="B920" s="255"/>
      <c r="C920" s="256"/>
      <c r="D920" s="256"/>
      <c r="E920" s="256"/>
      <c r="F920" s="256"/>
      <c r="G920" s="256"/>
      <c r="H920" s="256"/>
      <c r="I920" s="256"/>
      <c r="J920" s="256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  <c r="W920" s="256"/>
      <c r="X920" s="256"/>
      <c r="Y920" s="256"/>
      <c r="Z920" s="256"/>
      <c r="AA920" s="256"/>
    </row>
    <row r="921">
      <c r="A921" s="256"/>
      <c r="B921" s="255"/>
      <c r="C921" s="256"/>
      <c r="D921" s="256"/>
      <c r="E921" s="256"/>
      <c r="F921" s="256"/>
      <c r="G921" s="256"/>
      <c r="H921" s="256"/>
      <c r="I921" s="256"/>
      <c r="J921" s="256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W921" s="256"/>
      <c r="X921" s="256"/>
      <c r="Y921" s="256"/>
      <c r="Z921" s="256"/>
      <c r="AA921" s="256"/>
    </row>
    <row r="922">
      <c r="A922" s="256"/>
      <c r="B922" s="255"/>
      <c r="C922" s="256"/>
      <c r="D922" s="256"/>
      <c r="E922" s="256"/>
      <c r="F922" s="256"/>
      <c r="G922" s="256"/>
      <c r="H922" s="256"/>
      <c r="I922" s="256"/>
      <c r="J922" s="256"/>
      <c r="K922" s="256"/>
      <c r="L922" s="256"/>
      <c r="M922" s="256"/>
      <c r="N922" s="256"/>
      <c r="O922" s="256"/>
      <c r="P922" s="256"/>
      <c r="Q922" s="256"/>
      <c r="R922" s="256"/>
      <c r="S922" s="256"/>
      <c r="T922" s="256"/>
      <c r="U922" s="256"/>
      <c r="V922" s="256"/>
      <c r="W922" s="256"/>
      <c r="X922" s="256"/>
      <c r="Y922" s="256"/>
      <c r="Z922" s="256"/>
      <c r="AA922" s="256"/>
    </row>
    <row r="923">
      <c r="A923" s="256"/>
      <c r="B923" s="255"/>
      <c r="C923" s="256"/>
      <c r="D923" s="256"/>
      <c r="E923" s="256"/>
      <c r="F923" s="256"/>
      <c r="G923" s="256"/>
      <c r="H923" s="256"/>
      <c r="I923" s="256"/>
      <c r="J923" s="256"/>
      <c r="K923" s="256"/>
      <c r="L923" s="256"/>
      <c r="M923" s="256"/>
      <c r="N923" s="256"/>
      <c r="O923" s="256"/>
      <c r="P923" s="256"/>
      <c r="Q923" s="256"/>
      <c r="R923" s="256"/>
      <c r="S923" s="256"/>
      <c r="T923" s="256"/>
      <c r="U923" s="256"/>
      <c r="V923" s="256"/>
      <c r="W923" s="256"/>
      <c r="X923" s="256"/>
      <c r="Y923" s="256"/>
      <c r="Z923" s="256"/>
      <c r="AA923" s="256"/>
    </row>
    <row r="924">
      <c r="A924" s="256"/>
      <c r="B924" s="255"/>
      <c r="C924" s="256"/>
      <c r="D924" s="256"/>
      <c r="E924" s="256"/>
      <c r="F924" s="256"/>
      <c r="G924" s="256"/>
      <c r="H924" s="256"/>
      <c r="I924" s="256"/>
      <c r="J924" s="256"/>
      <c r="K924" s="256"/>
      <c r="L924" s="256"/>
      <c r="M924" s="256"/>
      <c r="N924" s="256"/>
      <c r="O924" s="256"/>
      <c r="P924" s="256"/>
      <c r="Q924" s="256"/>
      <c r="R924" s="256"/>
      <c r="S924" s="256"/>
      <c r="T924" s="256"/>
      <c r="U924" s="256"/>
      <c r="V924" s="256"/>
      <c r="W924" s="256"/>
      <c r="X924" s="256"/>
      <c r="Y924" s="256"/>
      <c r="Z924" s="256"/>
      <c r="AA924" s="256"/>
    </row>
    <row r="925">
      <c r="A925" s="256"/>
      <c r="B925" s="255"/>
      <c r="C925" s="256"/>
      <c r="D925" s="256"/>
      <c r="E925" s="256"/>
      <c r="F925" s="256"/>
      <c r="G925" s="256"/>
      <c r="H925" s="256"/>
      <c r="I925" s="256"/>
      <c r="J925" s="256"/>
      <c r="K925" s="256"/>
      <c r="L925" s="256"/>
      <c r="M925" s="256"/>
      <c r="N925" s="256"/>
      <c r="O925" s="256"/>
      <c r="P925" s="256"/>
      <c r="Q925" s="256"/>
      <c r="R925" s="256"/>
      <c r="S925" s="256"/>
      <c r="T925" s="256"/>
      <c r="U925" s="256"/>
      <c r="V925" s="256"/>
      <c r="W925" s="256"/>
      <c r="X925" s="256"/>
      <c r="Y925" s="256"/>
      <c r="Z925" s="256"/>
      <c r="AA925" s="256"/>
    </row>
    <row r="926">
      <c r="A926" s="256"/>
      <c r="B926" s="255"/>
      <c r="C926" s="256"/>
      <c r="D926" s="256"/>
      <c r="E926" s="256"/>
      <c r="F926" s="256"/>
      <c r="G926" s="256"/>
      <c r="H926" s="256"/>
      <c r="I926" s="256"/>
      <c r="J926" s="256"/>
      <c r="K926" s="256"/>
      <c r="L926" s="256"/>
      <c r="M926" s="256"/>
      <c r="N926" s="256"/>
      <c r="O926" s="256"/>
      <c r="P926" s="256"/>
      <c r="Q926" s="256"/>
      <c r="R926" s="256"/>
      <c r="S926" s="256"/>
      <c r="T926" s="256"/>
      <c r="U926" s="256"/>
      <c r="V926" s="256"/>
      <c r="W926" s="256"/>
      <c r="X926" s="256"/>
      <c r="Y926" s="256"/>
      <c r="Z926" s="256"/>
      <c r="AA926" s="256"/>
    </row>
    <row r="927">
      <c r="A927" s="256"/>
      <c r="B927" s="255"/>
      <c r="C927" s="256"/>
      <c r="D927" s="256"/>
      <c r="E927" s="256"/>
      <c r="F927" s="256"/>
      <c r="G927" s="256"/>
      <c r="H927" s="256"/>
      <c r="I927" s="256"/>
      <c r="J927" s="256"/>
      <c r="K927" s="256"/>
      <c r="L927" s="256"/>
      <c r="M927" s="256"/>
      <c r="N927" s="256"/>
      <c r="O927" s="256"/>
      <c r="P927" s="256"/>
      <c r="Q927" s="256"/>
      <c r="R927" s="256"/>
      <c r="S927" s="256"/>
      <c r="T927" s="256"/>
      <c r="U927" s="256"/>
      <c r="V927" s="256"/>
      <c r="W927" s="256"/>
      <c r="X927" s="256"/>
      <c r="Y927" s="256"/>
      <c r="Z927" s="256"/>
      <c r="AA927" s="256"/>
    </row>
    <row r="928">
      <c r="A928" s="256"/>
      <c r="B928" s="255"/>
      <c r="C928" s="256"/>
      <c r="D928" s="256"/>
      <c r="E928" s="256"/>
      <c r="F928" s="256"/>
      <c r="G928" s="256"/>
      <c r="H928" s="256"/>
      <c r="I928" s="256"/>
      <c r="J928" s="256"/>
      <c r="K928" s="256"/>
      <c r="L928" s="256"/>
      <c r="M928" s="256"/>
      <c r="N928" s="256"/>
      <c r="O928" s="256"/>
      <c r="P928" s="256"/>
      <c r="Q928" s="256"/>
      <c r="R928" s="256"/>
      <c r="S928" s="256"/>
      <c r="T928" s="256"/>
      <c r="U928" s="256"/>
      <c r="V928" s="256"/>
      <c r="W928" s="256"/>
      <c r="X928" s="256"/>
      <c r="Y928" s="256"/>
      <c r="Z928" s="256"/>
      <c r="AA928" s="256"/>
    </row>
    <row r="929">
      <c r="A929" s="256"/>
      <c r="B929" s="255"/>
      <c r="C929" s="256"/>
      <c r="D929" s="256"/>
      <c r="E929" s="256"/>
      <c r="F929" s="256"/>
      <c r="G929" s="256"/>
      <c r="H929" s="256"/>
      <c r="I929" s="256"/>
      <c r="J929" s="256"/>
      <c r="K929" s="256"/>
      <c r="L929" s="256"/>
      <c r="M929" s="256"/>
      <c r="N929" s="256"/>
      <c r="O929" s="256"/>
      <c r="P929" s="256"/>
      <c r="Q929" s="256"/>
      <c r="R929" s="256"/>
      <c r="S929" s="256"/>
      <c r="T929" s="256"/>
      <c r="U929" s="256"/>
      <c r="V929" s="256"/>
      <c r="W929" s="256"/>
      <c r="X929" s="256"/>
      <c r="Y929" s="256"/>
      <c r="Z929" s="256"/>
      <c r="AA929" s="256"/>
    </row>
    <row r="930">
      <c r="A930" s="256"/>
      <c r="B930" s="255"/>
      <c r="C930" s="256"/>
      <c r="D930" s="256"/>
      <c r="E930" s="256"/>
      <c r="F930" s="256"/>
      <c r="G930" s="256"/>
      <c r="H930" s="256"/>
      <c r="I930" s="256"/>
      <c r="J930" s="256"/>
      <c r="K930" s="256"/>
      <c r="L930" s="256"/>
      <c r="M930" s="256"/>
      <c r="N930" s="256"/>
      <c r="O930" s="256"/>
      <c r="P930" s="256"/>
      <c r="Q930" s="256"/>
      <c r="R930" s="256"/>
      <c r="S930" s="256"/>
      <c r="T930" s="256"/>
      <c r="U930" s="256"/>
      <c r="V930" s="256"/>
      <c r="W930" s="256"/>
      <c r="X930" s="256"/>
      <c r="Y930" s="256"/>
      <c r="Z930" s="256"/>
      <c r="AA930" s="256"/>
    </row>
    <row r="931">
      <c r="A931" s="256"/>
      <c r="B931" s="255"/>
      <c r="C931" s="256"/>
      <c r="D931" s="256"/>
      <c r="E931" s="256"/>
      <c r="F931" s="256"/>
      <c r="G931" s="256"/>
      <c r="H931" s="256"/>
      <c r="I931" s="256"/>
      <c r="J931" s="256"/>
      <c r="K931" s="256"/>
      <c r="L931" s="256"/>
      <c r="M931" s="256"/>
      <c r="N931" s="256"/>
      <c r="O931" s="256"/>
      <c r="P931" s="256"/>
      <c r="Q931" s="256"/>
      <c r="R931" s="256"/>
      <c r="S931" s="256"/>
      <c r="T931" s="256"/>
      <c r="U931" s="256"/>
      <c r="V931" s="256"/>
      <c r="W931" s="256"/>
      <c r="X931" s="256"/>
      <c r="Y931" s="256"/>
      <c r="Z931" s="256"/>
      <c r="AA931" s="256"/>
    </row>
    <row r="932">
      <c r="A932" s="256"/>
      <c r="B932" s="255"/>
      <c r="C932" s="256"/>
      <c r="D932" s="256"/>
      <c r="E932" s="256"/>
      <c r="F932" s="256"/>
      <c r="G932" s="256"/>
      <c r="H932" s="256"/>
      <c r="I932" s="256"/>
      <c r="J932" s="256"/>
      <c r="K932" s="256"/>
      <c r="L932" s="256"/>
      <c r="M932" s="256"/>
      <c r="N932" s="256"/>
      <c r="O932" s="256"/>
      <c r="P932" s="256"/>
      <c r="Q932" s="256"/>
      <c r="R932" s="256"/>
      <c r="S932" s="256"/>
      <c r="T932" s="256"/>
      <c r="U932" s="256"/>
      <c r="V932" s="256"/>
      <c r="W932" s="256"/>
      <c r="X932" s="256"/>
      <c r="Y932" s="256"/>
      <c r="Z932" s="256"/>
      <c r="AA932" s="256"/>
    </row>
    <row r="933">
      <c r="A933" s="256"/>
      <c r="B933" s="255"/>
      <c r="C933" s="256"/>
      <c r="D933" s="256"/>
      <c r="E933" s="256"/>
      <c r="F933" s="256"/>
      <c r="G933" s="256"/>
      <c r="H933" s="256"/>
      <c r="I933" s="256"/>
      <c r="J933" s="256"/>
      <c r="K933" s="256"/>
      <c r="L933" s="256"/>
      <c r="M933" s="256"/>
      <c r="N933" s="256"/>
      <c r="O933" s="256"/>
      <c r="P933" s="256"/>
      <c r="Q933" s="256"/>
      <c r="R933" s="256"/>
      <c r="S933" s="256"/>
      <c r="T933" s="256"/>
      <c r="U933" s="256"/>
      <c r="V933" s="256"/>
      <c r="W933" s="256"/>
      <c r="X933" s="256"/>
      <c r="Y933" s="256"/>
      <c r="Z933" s="256"/>
      <c r="AA933" s="256"/>
    </row>
    <row r="934">
      <c r="A934" s="256"/>
      <c r="B934" s="255"/>
      <c r="C934" s="256"/>
      <c r="D934" s="256"/>
      <c r="E934" s="256"/>
      <c r="F934" s="256"/>
      <c r="G934" s="256"/>
      <c r="H934" s="256"/>
      <c r="I934" s="256"/>
      <c r="J934" s="256"/>
      <c r="K934" s="256"/>
      <c r="L934" s="256"/>
      <c r="M934" s="256"/>
      <c r="N934" s="256"/>
      <c r="O934" s="256"/>
      <c r="P934" s="256"/>
      <c r="Q934" s="256"/>
      <c r="R934" s="256"/>
      <c r="S934" s="256"/>
      <c r="T934" s="256"/>
      <c r="U934" s="256"/>
      <c r="V934" s="256"/>
      <c r="W934" s="256"/>
      <c r="X934" s="256"/>
      <c r="Y934" s="256"/>
      <c r="Z934" s="256"/>
      <c r="AA934" s="256"/>
    </row>
    <row r="935">
      <c r="A935" s="256"/>
      <c r="B935" s="255"/>
      <c r="C935" s="256"/>
      <c r="D935" s="256"/>
      <c r="E935" s="256"/>
      <c r="F935" s="256"/>
      <c r="G935" s="256"/>
      <c r="H935" s="256"/>
      <c r="I935" s="256"/>
      <c r="J935" s="256"/>
      <c r="K935" s="256"/>
      <c r="L935" s="256"/>
      <c r="M935" s="256"/>
      <c r="N935" s="256"/>
      <c r="O935" s="256"/>
      <c r="P935" s="256"/>
      <c r="Q935" s="256"/>
      <c r="R935" s="256"/>
      <c r="S935" s="256"/>
      <c r="T935" s="256"/>
      <c r="U935" s="256"/>
      <c r="V935" s="256"/>
      <c r="W935" s="256"/>
      <c r="X935" s="256"/>
      <c r="Y935" s="256"/>
      <c r="Z935" s="256"/>
      <c r="AA935" s="256"/>
    </row>
    <row r="936">
      <c r="A936" s="256"/>
      <c r="B936" s="255"/>
      <c r="C936" s="256"/>
      <c r="D936" s="256"/>
      <c r="E936" s="256"/>
      <c r="F936" s="256"/>
      <c r="G936" s="256"/>
      <c r="H936" s="256"/>
      <c r="I936" s="256"/>
      <c r="J936" s="256"/>
      <c r="K936" s="256"/>
      <c r="L936" s="256"/>
      <c r="M936" s="256"/>
      <c r="N936" s="256"/>
      <c r="O936" s="256"/>
      <c r="P936" s="256"/>
      <c r="Q936" s="256"/>
      <c r="R936" s="256"/>
      <c r="S936" s="256"/>
      <c r="T936" s="256"/>
      <c r="U936" s="256"/>
      <c r="V936" s="256"/>
      <c r="W936" s="256"/>
      <c r="X936" s="256"/>
      <c r="Y936" s="256"/>
      <c r="Z936" s="256"/>
      <c r="AA936" s="256"/>
    </row>
    <row r="937">
      <c r="A937" s="256"/>
      <c r="B937" s="255"/>
      <c r="C937" s="256"/>
      <c r="D937" s="256"/>
      <c r="E937" s="256"/>
      <c r="F937" s="256"/>
      <c r="G937" s="256"/>
      <c r="H937" s="256"/>
      <c r="I937" s="256"/>
      <c r="J937" s="256"/>
      <c r="K937" s="256"/>
      <c r="L937" s="256"/>
      <c r="M937" s="256"/>
      <c r="N937" s="256"/>
      <c r="O937" s="256"/>
      <c r="P937" s="256"/>
      <c r="Q937" s="256"/>
      <c r="R937" s="256"/>
      <c r="S937" s="256"/>
      <c r="T937" s="256"/>
      <c r="U937" s="256"/>
      <c r="V937" s="256"/>
      <c r="W937" s="256"/>
      <c r="X937" s="256"/>
      <c r="Y937" s="256"/>
      <c r="Z937" s="256"/>
      <c r="AA937" s="256"/>
    </row>
    <row r="938">
      <c r="A938" s="256"/>
      <c r="B938" s="255"/>
      <c r="C938" s="256"/>
      <c r="D938" s="256"/>
      <c r="E938" s="256"/>
      <c r="F938" s="256"/>
      <c r="G938" s="256"/>
      <c r="H938" s="256"/>
      <c r="I938" s="256"/>
      <c r="J938" s="256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  <c r="V938" s="256"/>
      <c r="W938" s="256"/>
      <c r="X938" s="256"/>
      <c r="Y938" s="256"/>
      <c r="Z938" s="256"/>
      <c r="AA938" s="256"/>
    </row>
    <row r="939">
      <c r="A939" s="256"/>
      <c r="B939" s="255"/>
      <c r="C939" s="256"/>
      <c r="D939" s="256"/>
      <c r="E939" s="256"/>
      <c r="F939" s="256"/>
      <c r="G939" s="256"/>
      <c r="H939" s="256"/>
      <c r="I939" s="256"/>
      <c r="J939" s="256"/>
      <c r="K939" s="256"/>
      <c r="L939" s="256"/>
      <c r="M939" s="256"/>
      <c r="N939" s="256"/>
      <c r="O939" s="256"/>
      <c r="P939" s="256"/>
      <c r="Q939" s="256"/>
      <c r="R939" s="256"/>
      <c r="S939" s="256"/>
      <c r="T939" s="256"/>
      <c r="U939" s="256"/>
      <c r="V939" s="256"/>
      <c r="W939" s="256"/>
      <c r="X939" s="256"/>
      <c r="Y939" s="256"/>
      <c r="Z939" s="256"/>
      <c r="AA939" s="256"/>
    </row>
    <row r="940">
      <c r="A940" s="256"/>
      <c r="B940" s="255"/>
      <c r="C940" s="256"/>
      <c r="D940" s="256"/>
      <c r="E940" s="256"/>
      <c r="F940" s="256"/>
      <c r="G940" s="256"/>
      <c r="H940" s="256"/>
      <c r="I940" s="256"/>
      <c r="J940" s="256"/>
      <c r="K940" s="256"/>
      <c r="L940" s="256"/>
      <c r="M940" s="256"/>
      <c r="N940" s="256"/>
      <c r="O940" s="256"/>
      <c r="P940" s="256"/>
      <c r="Q940" s="256"/>
      <c r="R940" s="256"/>
      <c r="S940" s="256"/>
      <c r="T940" s="256"/>
      <c r="U940" s="256"/>
      <c r="V940" s="256"/>
      <c r="W940" s="256"/>
      <c r="X940" s="256"/>
      <c r="Y940" s="256"/>
      <c r="Z940" s="256"/>
      <c r="AA940" s="256"/>
    </row>
    <row r="941">
      <c r="A941" s="256"/>
      <c r="B941" s="255"/>
      <c r="C941" s="256"/>
      <c r="D941" s="256"/>
      <c r="E941" s="256"/>
      <c r="F941" s="256"/>
      <c r="G941" s="256"/>
      <c r="H941" s="256"/>
      <c r="I941" s="256"/>
      <c r="J941" s="256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  <c r="AA941" s="256"/>
    </row>
    <row r="942">
      <c r="A942" s="256"/>
      <c r="B942" s="255"/>
      <c r="C942" s="256"/>
      <c r="D942" s="256"/>
      <c r="E942" s="256"/>
      <c r="F942" s="256"/>
      <c r="G942" s="256"/>
      <c r="H942" s="256"/>
      <c r="I942" s="256"/>
      <c r="J942" s="256"/>
      <c r="K942" s="256"/>
      <c r="L942" s="256"/>
      <c r="M942" s="256"/>
      <c r="N942" s="256"/>
      <c r="O942" s="256"/>
      <c r="P942" s="256"/>
      <c r="Q942" s="256"/>
      <c r="R942" s="256"/>
      <c r="S942" s="256"/>
      <c r="T942" s="256"/>
      <c r="U942" s="256"/>
      <c r="V942" s="256"/>
      <c r="W942" s="256"/>
      <c r="X942" s="256"/>
      <c r="Y942" s="256"/>
      <c r="Z942" s="256"/>
      <c r="AA942" s="256"/>
    </row>
    <row r="943">
      <c r="A943" s="256"/>
      <c r="B943" s="255"/>
      <c r="C943" s="256"/>
      <c r="D943" s="256"/>
      <c r="E943" s="256"/>
      <c r="F943" s="256"/>
      <c r="G943" s="256"/>
      <c r="H943" s="256"/>
      <c r="I943" s="256"/>
      <c r="J943" s="256"/>
      <c r="K943" s="256"/>
      <c r="L943" s="256"/>
      <c r="M943" s="256"/>
      <c r="N943" s="256"/>
      <c r="O943" s="256"/>
      <c r="P943" s="256"/>
      <c r="Q943" s="256"/>
      <c r="R943" s="256"/>
      <c r="S943" s="256"/>
      <c r="T943" s="256"/>
      <c r="U943" s="256"/>
      <c r="V943" s="256"/>
      <c r="W943" s="256"/>
      <c r="X943" s="256"/>
      <c r="Y943" s="256"/>
      <c r="Z943" s="256"/>
      <c r="AA943" s="256"/>
    </row>
    <row r="944">
      <c r="A944" s="256"/>
      <c r="B944" s="255"/>
      <c r="C944" s="256"/>
      <c r="D944" s="256"/>
      <c r="E944" s="256"/>
      <c r="F944" s="256"/>
      <c r="G944" s="256"/>
      <c r="H944" s="256"/>
      <c r="I944" s="256"/>
      <c r="J944" s="256"/>
      <c r="K944" s="256"/>
      <c r="L944" s="256"/>
      <c r="M944" s="256"/>
      <c r="N944" s="256"/>
      <c r="O944" s="256"/>
      <c r="P944" s="256"/>
      <c r="Q944" s="256"/>
      <c r="R944" s="256"/>
      <c r="S944" s="256"/>
      <c r="T944" s="256"/>
      <c r="U944" s="256"/>
      <c r="V944" s="256"/>
      <c r="W944" s="256"/>
      <c r="X944" s="256"/>
      <c r="Y944" s="256"/>
      <c r="Z944" s="256"/>
      <c r="AA944" s="256"/>
    </row>
    <row r="945">
      <c r="A945" s="256"/>
      <c r="B945" s="255"/>
      <c r="C945" s="256"/>
      <c r="D945" s="256"/>
      <c r="E945" s="256"/>
      <c r="F945" s="256"/>
      <c r="G945" s="256"/>
      <c r="H945" s="256"/>
      <c r="I945" s="256"/>
      <c r="J945" s="256"/>
      <c r="K945" s="256"/>
      <c r="L945" s="256"/>
      <c r="M945" s="256"/>
      <c r="N945" s="256"/>
      <c r="O945" s="256"/>
      <c r="P945" s="256"/>
      <c r="Q945" s="256"/>
      <c r="R945" s="256"/>
      <c r="S945" s="256"/>
      <c r="T945" s="256"/>
      <c r="U945" s="256"/>
      <c r="V945" s="256"/>
      <c r="W945" s="256"/>
      <c r="X945" s="256"/>
      <c r="Y945" s="256"/>
      <c r="Z945" s="256"/>
      <c r="AA945" s="256"/>
    </row>
    <row r="946">
      <c r="A946" s="256"/>
      <c r="B946" s="255"/>
      <c r="C946" s="256"/>
      <c r="D946" s="256"/>
      <c r="E946" s="256"/>
      <c r="F946" s="256"/>
      <c r="G946" s="256"/>
      <c r="H946" s="256"/>
      <c r="I946" s="256"/>
      <c r="J946" s="256"/>
      <c r="K946" s="256"/>
      <c r="L946" s="256"/>
      <c r="M946" s="256"/>
      <c r="N946" s="256"/>
      <c r="O946" s="256"/>
      <c r="P946" s="256"/>
      <c r="Q946" s="256"/>
      <c r="R946" s="256"/>
      <c r="S946" s="256"/>
      <c r="T946" s="256"/>
      <c r="U946" s="256"/>
      <c r="V946" s="256"/>
      <c r="W946" s="256"/>
      <c r="X946" s="256"/>
      <c r="Y946" s="256"/>
      <c r="Z946" s="256"/>
      <c r="AA946" s="256"/>
    </row>
    <row r="947">
      <c r="A947" s="256"/>
      <c r="B947" s="255"/>
      <c r="C947" s="256"/>
      <c r="D947" s="256"/>
      <c r="E947" s="256"/>
      <c r="F947" s="256"/>
      <c r="G947" s="256"/>
      <c r="H947" s="256"/>
      <c r="I947" s="256"/>
      <c r="J947" s="256"/>
      <c r="K947" s="256"/>
      <c r="L947" s="256"/>
      <c r="M947" s="256"/>
      <c r="N947" s="256"/>
      <c r="O947" s="256"/>
      <c r="P947" s="256"/>
      <c r="Q947" s="256"/>
      <c r="R947" s="256"/>
      <c r="S947" s="256"/>
      <c r="T947" s="256"/>
      <c r="U947" s="256"/>
      <c r="V947" s="256"/>
      <c r="W947" s="256"/>
      <c r="X947" s="256"/>
      <c r="Y947" s="256"/>
      <c r="Z947" s="256"/>
      <c r="AA947" s="256"/>
    </row>
    <row r="948">
      <c r="A948" s="256"/>
      <c r="B948" s="255"/>
      <c r="C948" s="256"/>
      <c r="D948" s="256"/>
      <c r="E948" s="256"/>
      <c r="F948" s="256"/>
      <c r="G948" s="256"/>
      <c r="H948" s="256"/>
      <c r="I948" s="256"/>
      <c r="J948" s="256"/>
      <c r="K948" s="256"/>
      <c r="L948" s="256"/>
      <c r="M948" s="256"/>
      <c r="N948" s="256"/>
      <c r="O948" s="256"/>
      <c r="P948" s="256"/>
      <c r="Q948" s="256"/>
      <c r="R948" s="256"/>
      <c r="S948" s="256"/>
      <c r="T948" s="256"/>
      <c r="U948" s="256"/>
      <c r="V948" s="256"/>
      <c r="W948" s="256"/>
      <c r="X948" s="256"/>
      <c r="Y948" s="256"/>
      <c r="Z948" s="256"/>
      <c r="AA948" s="256"/>
    </row>
    <row r="949">
      <c r="A949" s="256"/>
      <c r="B949" s="255"/>
      <c r="C949" s="256"/>
      <c r="D949" s="256"/>
      <c r="E949" s="256"/>
      <c r="F949" s="256"/>
      <c r="G949" s="256"/>
      <c r="H949" s="256"/>
      <c r="I949" s="256"/>
      <c r="J949" s="256"/>
      <c r="K949" s="256"/>
      <c r="L949" s="256"/>
      <c r="M949" s="256"/>
      <c r="N949" s="256"/>
      <c r="O949" s="256"/>
      <c r="P949" s="256"/>
      <c r="Q949" s="256"/>
      <c r="R949" s="256"/>
      <c r="S949" s="256"/>
      <c r="T949" s="256"/>
      <c r="U949" s="256"/>
      <c r="V949" s="256"/>
      <c r="W949" s="256"/>
      <c r="X949" s="256"/>
      <c r="Y949" s="256"/>
      <c r="Z949" s="256"/>
      <c r="AA949" s="256"/>
    </row>
    <row r="950">
      <c r="A950" s="256"/>
      <c r="B950" s="255"/>
      <c r="C950" s="256"/>
      <c r="D950" s="256"/>
      <c r="E950" s="256"/>
      <c r="F950" s="256"/>
      <c r="G950" s="256"/>
      <c r="H950" s="256"/>
      <c r="I950" s="256"/>
      <c r="J950" s="256"/>
      <c r="K950" s="256"/>
      <c r="L950" s="256"/>
      <c r="M950" s="256"/>
      <c r="N950" s="256"/>
      <c r="O950" s="256"/>
      <c r="P950" s="256"/>
      <c r="Q950" s="256"/>
      <c r="R950" s="256"/>
      <c r="S950" s="256"/>
      <c r="T950" s="256"/>
      <c r="U950" s="256"/>
      <c r="V950" s="256"/>
      <c r="W950" s="256"/>
      <c r="X950" s="256"/>
      <c r="Y950" s="256"/>
      <c r="Z950" s="256"/>
      <c r="AA950" s="256"/>
    </row>
    <row r="951">
      <c r="A951" s="256"/>
      <c r="B951" s="255"/>
      <c r="C951" s="256"/>
      <c r="D951" s="256"/>
      <c r="E951" s="256"/>
      <c r="F951" s="256"/>
      <c r="G951" s="256"/>
      <c r="H951" s="256"/>
      <c r="I951" s="256"/>
      <c r="J951" s="256"/>
      <c r="K951" s="256"/>
      <c r="L951" s="256"/>
      <c r="M951" s="256"/>
      <c r="N951" s="256"/>
      <c r="O951" s="256"/>
      <c r="P951" s="256"/>
      <c r="Q951" s="256"/>
      <c r="R951" s="256"/>
      <c r="S951" s="256"/>
      <c r="T951" s="256"/>
      <c r="U951" s="256"/>
      <c r="V951" s="256"/>
      <c r="W951" s="256"/>
      <c r="X951" s="256"/>
      <c r="Y951" s="256"/>
      <c r="Z951" s="256"/>
      <c r="AA951" s="256"/>
    </row>
    <row r="952">
      <c r="A952" s="256"/>
      <c r="B952" s="255"/>
      <c r="C952" s="256"/>
      <c r="D952" s="256"/>
      <c r="E952" s="256"/>
      <c r="F952" s="256"/>
      <c r="G952" s="256"/>
      <c r="H952" s="256"/>
      <c r="I952" s="256"/>
      <c r="J952" s="256"/>
      <c r="K952" s="256"/>
      <c r="L952" s="256"/>
      <c r="M952" s="256"/>
      <c r="N952" s="256"/>
      <c r="O952" s="256"/>
      <c r="P952" s="256"/>
      <c r="Q952" s="256"/>
      <c r="R952" s="256"/>
      <c r="S952" s="256"/>
      <c r="T952" s="256"/>
      <c r="U952" s="256"/>
      <c r="V952" s="256"/>
      <c r="W952" s="256"/>
      <c r="X952" s="256"/>
      <c r="Y952" s="256"/>
      <c r="Z952" s="256"/>
      <c r="AA952" s="256"/>
    </row>
    <row r="953">
      <c r="A953" s="256"/>
      <c r="B953" s="255"/>
      <c r="C953" s="256"/>
      <c r="D953" s="256"/>
      <c r="E953" s="256"/>
      <c r="F953" s="256"/>
      <c r="G953" s="256"/>
      <c r="H953" s="256"/>
      <c r="I953" s="256"/>
      <c r="J953" s="256"/>
      <c r="K953" s="256"/>
      <c r="L953" s="256"/>
      <c r="M953" s="256"/>
      <c r="N953" s="256"/>
      <c r="O953" s="256"/>
      <c r="P953" s="256"/>
      <c r="Q953" s="256"/>
      <c r="R953" s="256"/>
      <c r="S953" s="256"/>
      <c r="T953" s="256"/>
      <c r="U953" s="256"/>
      <c r="V953" s="256"/>
      <c r="W953" s="256"/>
      <c r="X953" s="256"/>
      <c r="Y953" s="256"/>
      <c r="Z953" s="256"/>
      <c r="AA953" s="256"/>
    </row>
    <row r="954">
      <c r="A954" s="256"/>
      <c r="B954" s="255"/>
      <c r="C954" s="256"/>
      <c r="D954" s="256"/>
      <c r="E954" s="256"/>
      <c r="F954" s="256"/>
      <c r="G954" s="256"/>
      <c r="H954" s="256"/>
      <c r="I954" s="256"/>
      <c r="J954" s="256"/>
      <c r="K954" s="256"/>
      <c r="L954" s="256"/>
      <c r="M954" s="256"/>
      <c r="N954" s="256"/>
      <c r="O954" s="256"/>
      <c r="P954" s="256"/>
      <c r="Q954" s="256"/>
      <c r="R954" s="256"/>
      <c r="S954" s="256"/>
      <c r="T954" s="256"/>
      <c r="U954" s="256"/>
      <c r="V954" s="256"/>
      <c r="W954" s="256"/>
      <c r="X954" s="256"/>
      <c r="Y954" s="256"/>
      <c r="Z954" s="256"/>
      <c r="AA954" s="256"/>
    </row>
    <row r="955">
      <c r="A955" s="256"/>
      <c r="B955" s="255"/>
      <c r="C955" s="256"/>
      <c r="D955" s="256"/>
      <c r="E955" s="256"/>
      <c r="F955" s="256"/>
      <c r="G955" s="256"/>
      <c r="H955" s="256"/>
      <c r="I955" s="256"/>
      <c r="J955" s="256"/>
      <c r="K955" s="256"/>
      <c r="L955" s="256"/>
      <c r="M955" s="256"/>
      <c r="N955" s="256"/>
      <c r="O955" s="256"/>
      <c r="P955" s="256"/>
      <c r="Q955" s="256"/>
      <c r="R955" s="256"/>
      <c r="S955" s="256"/>
      <c r="T955" s="256"/>
      <c r="U955" s="256"/>
      <c r="V955" s="256"/>
      <c r="W955" s="256"/>
      <c r="X955" s="256"/>
      <c r="Y955" s="256"/>
      <c r="Z955" s="256"/>
      <c r="AA955" s="256"/>
    </row>
    <row r="956">
      <c r="A956" s="256"/>
      <c r="B956" s="255"/>
      <c r="C956" s="256"/>
      <c r="D956" s="256"/>
      <c r="E956" s="256"/>
      <c r="F956" s="256"/>
      <c r="G956" s="256"/>
      <c r="H956" s="256"/>
      <c r="I956" s="256"/>
      <c r="J956" s="256"/>
      <c r="K956" s="256"/>
      <c r="L956" s="256"/>
      <c r="M956" s="256"/>
      <c r="N956" s="256"/>
      <c r="O956" s="256"/>
      <c r="P956" s="256"/>
      <c r="Q956" s="256"/>
      <c r="R956" s="256"/>
      <c r="S956" s="256"/>
      <c r="T956" s="256"/>
      <c r="U956" s="256"/>
      <c r="V956" s="256"/>
      <c r="W956" s="256"/>
      <c r="X956" s="256"/>
      <c r="Y956" s="256"/>
      <c r="Z956" s="256"/>
      <c r="AA956" s="256"/>
    </row>
    <row r="957">
      <c r="A957" s="256"/>
      <c r="B957" s="255"/>
      <c r="C957" s="256"/>
      <c r="D957" s="256"/>
      <c r="E957" s="256"/>
      <c r="F957" s="256"/>
      <c r="G957" s="256"/>
      <c r="H957" s="256"/>
      <c r="I957" s="256"/>
      <c r="J957" s="256"/>
      <c r="K957" s="256"/>
      <c r="L957" s="256"/>
      <c r="M957" s="256"/>
      <c r="N957" s="256"/>
      <c r="O957" s="256"/>
      <c r="P957" s="256"/>
      <c r="Q957" s="256"/>
      <c r="R957" s="256"/>
      <c r="S957" s="256"/>
      <c r="T957" s="256"/>
      <c r="U957" s="256"/>
      <c r="V957" s="256"/>
      <c r="W957" s="256"/>
      <c r="X957" s="256"/>
      <c r="Y957" s="256"/>
      <c r="Z957" s="256"/>
      <c r="AA957" s="256"/>
    </row>
    <row r="958">
      <c r="A958" s="256"/>
      <c r="B958" s="255"/>
      <c r="C958" s="256"/>
      <c r="D958" s="256"/>
      <c r="E958" s="256"/>
      <c r="F958" s="256"/>
      <c r="G958" s="256"/>
      <c r="H958" s="256"/>
      <c r="I958" s="256"/>
      <c r="J958" s="256"/>
      <c r="K958" s="256"/>
      <c r="L958" s="256"/>
      <c r="M958" s="256"/>
      <c r="N958" s="256"/>
      <c r="O958" s="256"/>
      <c r="P958" s="256"/>
      <c r="Q958" s="256"/>
      <c r="R958" s="256"/>
      <c r="S958" s="256"/>
      <c r="T958" s="256"/>
      <c r="U958" s="256"/>
      <c r="V958" s="256"/>
      <c r="W958" s="256"/>
      <c r="X958" s="256"/>
      <c r="Y958" s="256"/>
      <c r="Z958" s="256"/>
      <c r="AA958" s="256"/>
    </row>
    <row r="959">
      <c r="A959" s="256"/>
      <c r="B959" s="255"/>
      <c r="C959" s="256"/>
      <c r="D959" s="256"/>
      <c r="E959" s="256"/>
      <c r="F959" s="256"/>
      <c r="G959" s="256"/>
      <c r="H959" s="256"/>
      <c r="I959" s="256"/>
      <c r="J959" s="256"/>
      <c r="K959" s="256"/>
      <c r="L959" s="256"/>
      <c r="M959" s="256"/>
      <c r="N959" s="256"/>
      <c r="O959" s="256"/>
      <c r="P959" s="256"/>
      <c r="Q959" s="256"/>
      <c r="R959" s="256"/>
      <c r="S959" s="256"/>
      <c r="T959" s="256"/>
      <c r="U959" s="256"/>
      <c r="V959" s="256"/>
      <c r="W959" s="256"/>
      <c r="X959" s="256"/>
      <c r="Y959" s="256"/>
      <c r="Z959" s="256"/>
      <c r="AA959" s="256"/>
    </row>
    <row r="960">
      <c r="A960" s="256"/>
      <c r="B960" s="255"/>
      <c r="C960" s="256"/>
      <c r="D960" s="256"/>
      <c r="E960" s="256"/>
      <c r="F960" s="256"/>
      <c r="G960" s="256"/>
      <c r="H960" s="256"/>
      <c r="I960" s="256"/>
      <c r="J960" s="256"/>
      <c r="K960" s="256"/>
      <c r="L960" s="256"/>
      <c r="M960" s="256"/>
      <c r="N960" s="256"/>
      <c r="O960" s="256"/>
      <c r="P960" s="256"/>
      <c r="Q960" s="256"/>
      <c r="R960" s="256"/>
      <c r="S960" s="256"/>
      <c r="T960" s="256"/>
      <c r="U960" s="256"/>
      <c r="V960" s="256"/>
      <c r="W960" s="256"/>
      <c r="X960" s="256"/>
      <c r="Y960" s="256"/>
      <c r="Z960" s="256"/>
      <c r="AA960" s="256"/>
    </row>
    <row r="961">
      <c r="A961" s="256"/>
      <c r="B961" s="255"/>
      <c r="C961" s="256"/>
      <c r="D961" s="256"/>
      <c r="E961" s="256"/>
      <c r="F961" s="256"/>
      <c r="G961" s="256"/>
      <c r="H961" s="256"/>
      <c r="I961" s="256"/>
      <c r="J961" s="256"/>
      <c r="K961" s="256"/>
      <c r="L961" s="256"/>
      <c r="M961" s="256"/>
      <c r="N961" s="256"/>
      <c r="O961" s="256"/>
      <c r="P961" s="256"/>
      <c r="Q961" s="256"/>
      <c r="R961" s="256"/>
      <c r="S961" s="256"/>
      <c r="T961" s="256"/>
      <c r="U961" s="256"/>
      <c r="V961" s="256"/>
      <c r="W961" s="256"/>
      <c r="X961" s="256"/>
      <c r="Y961" s="256"/>
      <c r="Z961" s="256"/>
      <c r="AA961" s="256"/>
    </row>
    <row r="962">
      <c r="A962" s="256"/>
      <c r="B962" s="255"/>
      <c r="C962" s="256"/>
      <c r="D962" s="256"/>
      <c r="E962" s="256"/>
      <c r="F962" s="256"/>
      <c r="G962" s="256"/>
      <c r="H962" s="256"/>
      <c r="I962" s="256"/>
      <c r="J962" s="256"/>
      <c r="K962" s="256"/>
      <c r="L962" s="256"/>
      <c r="M962" s="256"/>
      <c r="N962" s="256"/>
      <c r="O962" s="256"/>
      <c r="P962" s="256"/>
      <c r="Q962" s="256"/>
      <c r="R962" s="256"/>
      <c r="S962" s="256"/>
      <c r="T962" s="256"/>
      <c r="U962" s="256"/>
      <c r="V962" s="256"/>
      <c r="W962" s="256"/>
      <c r="X962" s="256"/>
      <c r="Y962" s="256"/>
      <c r="Z962" s="256"/>
      <c r="AA962" s="256"/>
    </row>
    <row r="963">
      <c r="A963" s="256"/>
      <c r="B963" s="255"/>
      <c r="C963" s="256"/>
      <c r="D963" s="256"/>
      <c r="E963" s="256"/>
      <c r="F963" s="256"/>
      <c r="G963" s="256"/>
      <c r="H963" s="256"/>
      <c r="I963" s="256"/>
      <c r="J963" s="256"/>
      <c r="K963" s="256"/>
      <c r="L963" s="256"/>
      <c r="M963" s="256"/>
      <c r="N963" s="256"/>
      <c r="O963" s="256"/>
      <c r="P963" s="256"/>
      <c r="Q963" s="256"/>
      <c r="R963" s="256"/>
      <c r="S963" s="256"/>
      <c r="T963" s="256"/>
      <c r="U963" s="256"/>
      <c r="V963" s="256"/>
      <c r="W963" s="256"/>
      <c r="X963" s="256"/>
      <c r="Y963" s="256"/>
      <c r="Z963" s="256"/>
      <c r="AA963" s="256"/>
    </row>
    <row r="964">
      <c r="A964" s="256"/>
      <c r="B964" s="255"/>
      <c r="C964" s="256"/>
      <c r="D964" s="256"/>
      <c r="E964" s="256"/>
      <c r="F964" s="256"/>
      <c r="G964" s="256"/>
      <c r="H964" s="256"/>
      <c r="I964" s="256"/>
      <c r="J964" s="256"/>
      <c r="K964" s="256"/>
      <c r="L964" s="256"/>
      <c r="M964" s="256"/>
      <c r="N964" s="256"/>
      <c r="O964" s="256"/>
      <c r="P964" s="256"/>
      <c r="Q964" s="256"/>
      <c r="R964" s="256"/>
      <c r="S964" s="256"/>
      <c r="T964" s="256"/>
      <c r="U964" s="256"/>
      <c r="V964" s="256"/>
      <c r="W964" s="256"/>
      <c r="X964" s="256"/>
      <c r="Y964" s="256"/>
      <c r="Z964" s="256"/>
      <c r="AA964" s="256"/>
    </row>
    <row r="965">
      <c r="A965" s="256"/>
      <c r="B965" s="255"/>
      <c r="C965" s="256"/>
      <c r="D965" s="256"/>
      <c r="E965" s="256"/>
      <c r="F965" s="256"/>
      <c r="G965" s="256"/>
      <c r="H965" s="256"/>
      <c r="I965" s="256"/>
      <c r="J965" s="256"/>
      <c r="K965" s="256"/>
      <c r="L965" s="256"/>
      <c r="M965" s="256"/>
      <c r="N965" s="256"/>
      <c r="O965" s="256"/>
      <c r="P965" s="256"/>
      <c r="Q965" s="256"/>
      <c r="R965" s="256"/>
      <c r="S965" s="256"/>
      <c r="T965" s="256"/>
      <c r="U965" s="256"/>
      <c r="V965" s="256"/>
      <c r="W965" s="256"/>
      <c r="X965" s="256"/>
      <c r="Y965" s="256"/>
      <c r="Z965" s="256"/>
      <c r="AA965" s="256"/>
    </row>
    <row r="966">
      <c r="A966" s="256"/>
      <c r="B966" s="255"/>
      <c r="C966" s="256"/>
      <c r="D966" s="256"/>
      <c r="E966" s="256"/>
      <c r="F966" s="256"/>
      <c r="G966" s="256"/>
      <c r="H966" s="256"/>
      <c r="I966" s="256"/>
      <c r="J966" s="256"/>
      <c r="K966" s="256"/>
      <c r="L966" s="256"/>
      <c r="M966" s="256"/>
      <c r="N966" s="256"/>
      <c r="O966" s="256"/>
      <c r="P966" s="256"/>
      <c r="Q966" s="256"/>
      <c r="R966" s="256"/>
      <c r="S966" s="256"/>
      <c r="T966" s="256"/>
      <c r="U966" s="256"/>
      <c r="V966" s="256"/>
      <c r="W966" s="256"/>
      <c r="X966" s="256"/>
      <c r="Y966" s="256"/>
      <c r="Z966" s="256"/>
      <c r="AA966" s="256"/>
    </row>
    <row r="967">
      <c r="A967" s="256"/>
      <c r="B967" s="255"/>
      <c r="C967" s="256"/>
      <c r="D967" s="256"/>
      <c r="E967" s="256"/>
      <c r="F967" s="256"/>
      <c r="G967" s="256"/>
      <c r="H967" s="256"/>
      <c r="I967" s="256"/>
      <c r="J967" s="256"/>
      <c r="K967" s="256"/>
      <c r="L967" s="256"/>
      <c r="M967" s="256"/>
      <c r="N967" s="256"/>
      <c r="O967" s="256"/>
      <c r="P967" s="256"/>
      <c r="Q967" s="256"/>
      <c r="R967" s="256"/>
      <c r="S967" s="256"/>
      <c r="T967" s="256"/>
      <c r="U967" s="256"/>
      <c r="V967" s="256"/>
      <c r="W967" s="256"/>
      <c r="X967" s="256"/>
      <c r="Y967" s="256"/>
      <c r="Z967" s="256"/>
      <c r="AA967" s="256"/>
    </row>
    <row r="968">
      <c r="A968" s="256"/>
      <c r="B968" s="255"/>
      <c r="C968" s="256"/>
      <c r="D968" s="256"/>
      <c r="E968" s="256"/>
      <c r="F968" s="256"/>
      <c r="G968" s="256"/>
      <c r="H968" s="256"/>
      <c r="I968" s="256"/>
      <c r="J968" s="256"/>
      <c r="K968" s="256"/>
      <c r="L968" s="256"/>
      <c r="M968" s="256"/>
      <c r="N968" s="256"/>
      <c r="O968" s="256"/>
      <c r="P968" s="256"/>
      <c r="Q968" s="256"/>
      <c r="R968" s="256"/>
      <c r="S968" s="256"/>
      <c r="T968" s="256"/>
      <c r="U968" s="256"/>
      <c r="V968" s="256"/>
      <c r="W968" s="256"/>
      <c r="X968" s="256"/>
      <c r="Y968" s="256"/>
      <c r="Z968" s="256"/>
      <c r="AA968" s="256"/>
    </row>
    <row r="969">
      <c r="A969" s="256"/>
      <c r="B969" s="255"/>
      <c r="C969" s="256"/>
      <c r="D969" s="256"/>
      <c r="E969" s="256"/>
      <c r="F969" s="256"/>
      <c r="G969" s="256"/>
      <c r="H969" s="256"/>
      <c r="I969" s="256"/>
      <c r="J969" s="256"/>
      <c r="K969" s="256"/>
      <c r="L969" s="256"/>
      <c r="M969" s="256"/>
      <c r="N969" s="256"/>
      <c r="O969" s="256"/>
      <c r="P969" s="256"/>
      <c r="Q969" s="256"/>
      <c r="R969" s="256"/>
      <c r="S969" s="256"/>
      <c r="T969" s="256"/>
      <c r="U969" s="256"/>
      <c r="V969" s="256"/>
      <c r="W969" s="256"/>
      <c r="X969" s="256"/>
      <c r="Y969" s="256"/>
      <c r="Z969" s="256"/>
      <c r="AA969" s="256"/>
    </row>
    <row r="970">
      <c r="A970" s="256"/>
      <c r="B970" s="255"/>
      <c r="C970" s="256"/>
      <c r="D970" s="256"/>
      <c r="E970" s="256"/>
      <c r="F970" s="256"/>
      <c r="G970" s="256"/>
      <c r="H970" s="256"/>
      <c r="I970" s="256"/>
      <c r="J970" s="256"/>
      <c r="K970" s="256"/>
      <c r="L970" s="256"/>
      <c r="M970" s="256"/>
      <c r="N970" s="256"/>
      <c r="O970" s="256"/>
      <c r="P970" s="256"/>
      <c r="Q970" s="256"/>
      <c r="R970" s="256"/>
      <c r="S970" s="256"/>
      <c r="T970" s="256"/>
      <c r="U970" s="256"/>
      <c r="V970" s="256"/>
      <c r="W970" s="256"/>
      <c r="X970" s="256"/>
      <c r="Y970" s="256"/>
      <c r="Z970" s="256"/>
      <c r="AA970" s="256"/>
    </row>
    <row r="971">
      <c r="A971" s="256"/>
      <c r="B971" s="255"/>
      <c r="C971" s="256"/>
      <c r="D971" s="256"/>
      <c r="E971" s="256"/>
      <c r="F971" s="256"/>
      <c r="G971" s="256"/>
      <c r="H971" s="256"/>
      <c r="I971" s="256"/>
      <c r="J971" s="256"/>
      <c r="K971" s="256"/>
      <c r="L971" s="256"/>
      <c r="M971" s="256"/>
      <c r="N971" s="256"/>
      <c r="O971" s="256"/>
      <c r="P971" s="256"/>
      <c r="Q971" s="256"/>
      <c r="R971" s="256"/>
      <c r="S971" s="256"/>
      <c r="T971" s="256"/>
      <c r="U971" s="256"/>
      <c r="V971" s="256"/>
      <c r="W971" s="256"/>
      <c r="X971" s="256"/>
      <c r="Y971" s="256"/>
      <c r="Z971" s="256"/>
      <c r="AA971" s="256"/>
    </row>
    <row r="972">
      <c r="A972" s="256"/>
      <c r="B972" s="255"/>
      <c r="C972" s="256"/>
      <c r="D972" s="256"/>
      <c r="E972" s="256"/>
      <c r="F972" s="256"/>
      <c r="G972" s="256"/>
      <c r="H972" s="256"/>
      <c r="I972" s="256"/>
      <c r="J972" s="256"/>
      <c r="K972" s="256"/>
      <c r="L972" s="256"/>
      <c r="M972" s="256"/>
      <c r="N972" s="256"/>
      <c r="O972" s="256"/>
      <c r="P972" s="256"/>
      <c r="Q972" s="256"/>
      <c r="R972" s="256"/>
      <c r="S972" s="256"/>
      <c r="T972" s="256"/>
      <c r="U972" s="256"/>
      <c r="V972" s="256"/>
      <c r="W972" s="256"/>
      <c r="X972" s="256"/>
      <c r="Y972" s="256"/>
      <c r="Z972" s="256"/>
      <c r="AA972" s="256"/>
    </row>
    <row r="973">
      <c r="A973" s="256"/>
      <c r="B973" s="255"/>
      <c r="C973" s="256"/>
      <c r="D973" s="256"/>
      <c r="E973" s="256"/>
      <c r="F973" s="256"/>
      <c r="G973" s="256"/>
      <c r="H973" s="256"/>
      <c r="I973" s="256"/>
      <c r="J973" s="256"/>
      <c r="K973" s="256"/>
      <c r="L973" s="256"/>
      <c r="M973" s="256"/>
      <c r="N973" s="256"/>
      <c r="O973" s="256"/>
      <c r="P973" s="256"/>
      <c r="Q973" s="256"/>
      <c r="R973" s="256"/>
      <c r="S973" s="256"/>
      <c r="T973" s="256"/>
      <c r="U973" s="256"/>
      <c r="V973" s="256"/>
      <c r="W973" s="256"/>
      <c r="X973" s="256"/>
      <c r="Y973" s="256"/>
      <c r="Z973" s="256"/>
      <c r="AA973" s="256"/>
    </row>
    <row r="974">
      <c r="A974" s="256"/>
      <c r="B974" s="255"/>
      <c r="C974" s="256"/>
      <c r="D974" s="256"/>
      <c r="E974" s="256"/>
      <c r="F974" s="256"/>
      <c r="G974" s="256"/>
      <c r="H974" s="256"/>
      <c r="I974" s="256"/>
      <c r="J974" s="256"/>
      <c r="K974" s="256"/>
      <c r="L974" s="256"/>
      <c r="M974" s="256"/>
      <c r="N974" s="256"/>
      <c r="O974" s="256"/>
      <c r="P974" s="256"/>
      <c r="Q974" s="256"/>
      <c r="R974" s="256"/>
      <c r="S974" s="256"/>
      <c r="T974" s="256"/>
      <c r="U974" s="256"/>
      <c r="V974" s="256"/>
      <c r="W974" s="256"/>
      <c r="X974" s="256"/>
      <c r="Y974" s="256"/>
      <c r="Z974" s="256"/>
      <c r="AA974" s="256"/>
    </row>
    <row r="975">
      <c r="A975" s="256"/>
      <c r="B975" s="255"/>
      <c r="C975" s="256"/>
      <c r="D975" s="256"/>
      <c r="E975" s="256"/>
      <c r="F975" s="256"/>
      <c r="G975" s="256"/>
      <c r="H975" s="256"/>
      <c r="I975" s="256"/>
      <c r="J975" s="256"/>
      <c r="K975" s="256"/>
      <c r="L975" s="256"/>
      <c r="M975" s="256"/>
      <c r="N975" s="256"/>
      <c r="O975" s="256"/>
      <c r="P975" s="256"/>
      <c r="Q975" s="256"/>
      <c r="R975" s="256"/>
      <c r="S975" s="256"/>
      <c r="T975" s="256"/>
      <c r="U975" s="256"/>
      <c r="V975" s="256"/>
      <c r="W975" s="256"/>
      <c r="X975" s="256"/>
      <c r="Y975" s="256"/>
      <c r="Z975" s="256"/>
      <c r="AA975" s="256"/>
    </row>
    <row r="976">
      <c r="A976" s="256"/>
      <c r="B976" s="255"/>
      <c r="C976" s="256"/>
      <c r="D976" s="256"/>
      <c r="E976" s="256"/>
      <c r="F976" s="256"/>
      <c r="G976" s="256"/>
      <c r="H976" s="256"/>
      <c r="I976" s="256"/>
      <c r="J976" s="256"/>
      <c r="K976" s="256"/>
      <c r="L976" s="256"/>
      <c r="M976" s="256"/>
      <c r="N976" s="256"/>
      <c r="O976" s="256"/>
      <c r="P976" s="256"/>
      <c r="Q976" s="256"/>
      <c r="R976" s="256"/>
      <c r="S976" s="256"/>
      <c r="T976" s="256"/>
      <c r="U976" s="256"/>
      <c r="V976" s="256"/>
      <c r="W976" s="256"/>
      <c r="X976" s="256"/>
      <c r="Y976" s="256"/>
      <c r="Z976" s="256"/>
      <c r="AA976" s="256"/>
    </row>
    <row r="977">
      <c r="A977" s="256"/>
      <c r="B977" s="255"/>
      <c r="C977" s="256"/>
      <c r="D977" s="256"/>
      <c r="E977" s="256"/>
      <c r="F977" s="256"/>
      <c r="G977" s="256"/>
      <c r="H977" s="256"/>
      <c r="I977" s="256"/>
      <c r="J977" s="256"/>
      <c r="K977" s="256"/>
      <c r="L977" s="256"/>
      <c r="M977" s="256"/>
      <c r="N977" s="256"/>
      <c r="O977" s="256"/>
      <c r="P977" s="256"/>
      <c r="Q977" s="256"/>
      <c r="R977" s="256"/>
      <c r="S977" s="256"/>
      <c r="T977" s="256"/>
      <c r="U977" s="256"/>
      <c r="V977" s="256"/>
      <c r="W977" s="256"/>
      <c r="X977" s="256"/>
      <c r="Y977" s="256"/>
      <c r="Z977" s="256"/>
      <c r="AA977" s="256"/>
    </row>
    <row r="978">
      <c r="A978" s="256"/>
      <c r="B978" s="255"/>
      <c r="C978" s="256"/>
      <c r="D978" s="256"/>
      <c r="E978" s="256"/>
      <c r="F978" s="256"/>
      <c r="G978" s="256"/>
      <c r="H978" s="256"/>
      <c r="I978" s="256"/>
      <c r="J978" s="256"/>
      <c r="K978" s="256"/>
      <c r="L978" s="256"/>
      <c r="M978" s="256"/>
      <c r="N978" s="256"/>
      <c r="O978" s="256"/>
      <c r="P978" s="256"/>
      <c r="Q978" s="256"/>
      <c r="R978" s="256"/>
      <c r="S978" s="256"/>
      <c r="T978" s="256"/>
      <c r="U978" s="256"/>
      <c r="V978" s="256"/>
      <c r="W978" s="256"/>
      <c r="X978" s="256"/>
      <c r="Y978" s="256"/>
      <c r="Z978" s="256"/>
      <c r="AA978" s="256"/>
    </row>
    <row r="979">
      <c r="A979" s="256"/>
      <c r="B979" s="255"/>
      <c r="C979" s="256"/>
      <c r="D979" s="256"/>
      <c r="E979" s="256"/>
      <c r="F979" s="256"/>
      <c r="G979" s="256"/>
      <c r="H979" s="256"/>
      <c r="I979" s="256"/>
      <c r="J979" s="256"/>
      <c r="K979" s="256"/>
      <c r="L979" s="256"/>
      <c r="M979" s="256"/>
      <c r="N979" s="256"/>
      <c r="O979" s="256"/>
      <c r="P979" s="256"/>
      <c r="Q979" s="256"/>
      <c r="R979" s="256"/>
      <c r="S979" s="256"/>
      <c r="T979" s="256"/>
      <c r="U979" s="256"/>
      <c r="V979" s="256"/>
      <c r="W979" s="256"/>
      <c r="X979" s="256"/>
      <c r="Y979" s="256"/>
      <c r="Z979" s="256"/>
      <c r="AA979" s="256"/>
    </row>
    <row r="980">
      <c r="A980" s="256"/>
      <c r="B980" s="255"/>
      <c r="C980" s="256"/>
      <c r="D980" s="256"/>
      <c r="E980" s="256"/>
      <c r="F980" s="256"/>
      <c r="G980" s="256"/>
      <c r="H980" s="256"/>
      <c r="I980" s="256"/>
      <c r="J980" s="256"/>
      <c r="K980" s="256"/>
      <c r="L980" s="256"/>
      <c r="M980" s="256"/>
      <c r="N980" s="256"/>
      <c r="O980" s="256"/>
      <c r="P980" s="256"/>
      <c r="Q980" s="256"/>
      <c r="R980" s="256"/>
      <c r="S980" s="256"/>
      <c r="T980" s="256"/>
      <c r="U980" s="256"/>
      <c r="V980" s="256"/>
      <c r="W980" s="256"/>
      <c r="X980" s="256"/>
      <c r="Y980" s="256"/>
      <c r="Z980" s="256"/>
      <c r="AA980" s="256"/>
    </row>
    <row r="981">
      <c r="A981" s="256"/>
      <c r="B981" s="255"/>
      <c r="C981" s="256"/>
      <c r="D981" s="256"/>
      <c r="E981" s="256"/>
      <c r="F981" s="256"/>
      <c r="G981" s="256"/>
      <c r="H981" s="256"/>
      <c r="I981" s="256"/>
      <c r="J981" s="256"/>
      <c r="K981" s="256"/>
      <c r="L981" s="256"/>
      <c r="M981" s="256"/>
      <c r="N981" s="256"/>
      <c r="O981" s="256"/>
      <c r="P981" s="256"/>
      <c r="Q981" s="256"/>
      <c r="R981" s="256"/>
      <c r="S981" s="256"/>
      <c r="T981" s="256"/>
      <c r="U981" s="256"/>
      <c r="V981" s="256"/>
      <c r="W981" s="256"/>
      <c r="X981" s="256"/>
      <c r="Y981" s="256"/>
      <c r="Z981" s="256"/>
      <c r="AA981" s="256"/>
    </row>
    <row r="982">
      <c r="A982" s="256"/>
      <c r="B982" s="255"/>
      <c r="C982" s="256"/>
      <c r="D982" s="256"/>
      <c r="E982" s="256"/>
      <c r="F982" s="256"/>
      <c r="G982" s="256"/>
      <c r="H982" s="256"/>
      <c r="I982" s="256"/>
      <c r="J982" s="256"/>
      <c r="K982" s="256"/>
      <c r="L982" s="256"/>
      <c r="M982" s="256"/>
      <c r="N982" s="256"/>
      <c r="O982" s="256"/>
      <c r="P982" s="256"/>
      <c r="Q982" s="256"/>
      <c r="R982" s="256"/>
      <c r="S982" s="256"/>
      <c r="T982" s="256"/>
      <c r="U982" s="256"/>
      <c r="V982" s="256"/>
      <c r="W982" s="256"/>
      <c r="X982" s="256"/>
      <c r="Y982" s="256"/>
      <c r="Z982" s="256"/>
      <c r="AA982" s="256"/>
    </row>
    <row r="983">
      <c r="A983" s="256"/>
      <c r="B983" s="255"/>
      <c r="C983" s="256"/>
      <c r="D983" s="256"/>
      <c r="E983" s="256"/>
      <c r="F983" s="256"/>
      <c r="G983" s="256"/>
      <c r="H983" s="256"/>
      <c r="I983" s="256"/>
      <c r="J983" s="256"/>
      <c r="K983" s="256"/>
      <c r="L983" s="256"/>
      <c r="M983" s="256"/>
      <c r="N983" s="256"/>
      <c r="O983" s="256"/>
      <c r="P983" s="256"/>
      <c r="Q983" s="256"/>
      <c r="R983" s="256"/>
      <c r="S983" s="256"/>
      <c r="T983" s="256"/>
      <c r="U983" s="256"/>
      <c r="V983" s="256"/>
      <c r="W983" s="256"/>
      <c r="X983" s="256"/>
      <c r="Y983" s="256"/>
      <c r="Z983" s="256"/>
      <c r="AA983" s="256"/>
    </row>
    <row r="984">
      <c r="A984" s="256"/>
      <c r="B984" s="255"/>
      <c r="C984" s="256"/>
      <c r="D984" s="256"/>
      <c r="E984" s="256"/>
      <c r="F984" s="256"/>
      <c r="G984" s="256"/>
      <c r="H984" s="256"/>
      <c r="I984" s="256"/>
      <c r="J984" s="256"/>
      <c r="K984" s="256"/>
      <c r="L984" s="256"/>
      <c r="M984" s="256"/>
      <c r="N984" s="256"/>
      <c r="O984" s="256"/>
      <c r="P984" s="256"/>
      <c r="Q984" s="256"/>
      <c r="R984" s="256"/>
      <c r="S984" s="256"/>
      <c r="T984" s="256"/>
      <c r="U984" s="256"/>
      <c r="V984" s="256"/>
      <c r="W984" s="256"/>
      <c r="X984" s="256"/>
      <c r="Y984" s="256"/>
      <c r="Z984" s="256"/>
      <c r="AA984" s="256"/>
    </row>
    <row r="985">
      <c r="A985" s="256"/>
      <c r="B985" s="255"/>
      <c r="C985" s="256"/>
      <c r="D985" s="256"/>
      <c r="E985" s="256"/>
      <c r="F985" s="256"/>
      <c r="G985" s="256"/>
      <c r="H985" s="256"/>
      <c r="I985" s="256"/>
      <c r="J985" s="256"/>
      <c r="K985" s="256"/>
      <c r="L985" s="256"/>
      <c r="M985" s="256"/>
      <c r="N985" s="256"/>
      <c r="O985" s="256"/>
      <c r="P985" s="256"/>
      <c r="Q985" s="256"/>
      <c r="R985" s="256"/>
      <c r="S985" s="256"/>
      <c r="T985" s="256"/>
      <c r="U985" s="256"/>
      <c r="V985" s="256"/>
      <c r="W985" s="256"/>
      <c r="X985" s="256"/>
      <c r="Y985" s="256"/>
      <c r="Z985" s="256"/>
      <c r="AA985" s="256"/>
    </row>
    <row r="986">
      <c r="A986" s="256"/>
      <c r="B986" s="255"/>
      <c r="C986" s="256"/>
      <c r="D986" s="256"/>
      <c r="E986" s="256"/>
      <c r="F986" s="256"/>
      <c r="G986" s="256"/>
      <c r="H986" s="256"/>
      <c r="I986" s="256"/>
      <c r="J986" s="256"/>
      <c r="K986" s="256"/>
      <c r="L986" s="256"/>
      <c r="M986" s="256"/>
      <c r="N986" s="256"/>
      <c r="O986" s="256"/>
      <c r="P986" s="256"/>
      <c r="Q986" s="256"/>
      <c r="R986" s="256"/>
      <c r="S986" s="256"/>
      <c r="T986" s="256"/>
      <c r="U986" s="256"/>
      <c r="V986" s="256"/>
      <c r="W986" s="256"/>
      <c r="X986" s="256"/>
      <c r="Y986" s="256"/>
      <c r="Z986" s="256"/>
      <c r="AA986" s="256"/>
    </row>
    <row r="987">
      <c r="A987" s="256"/>
      <c r="B987" s="255"/>
      <c r="C987" s="256"/>
      <c r="D987" s="256"/>
      <c r="E987" s="256"/>
      <c r="F987" s="256"/>
      <c r="G987" s="256"/>
      <c r="H987" s="256"/>
      <c r="I987" s="256"/>
      <c r="J987" s="256"/>
      <c r="K987" s="256"/>
      <c r="L987" s="256"/>
      <c r="M987" s="256"/>
      <c r="N987" s="256"/>
      <c r="O987" s="256"/>
      <c r="P987" s="256"/>
      <c r="Q987" s="256"/>
      <c r="R987" s="256"/>
      <c r="S987" s="256"/>
      <c r="T987" s="256"/>
      <c r="U987" s="256"/>
      <c r="V987" s="256"/>
      <c r="W987" s="256"/>
      <c r="X987" s="256"/>
      <c r="Y987" s="256"/>
      <c r="Z987" s="256"/>
      <c r="AA987" s="256"/>
    </row>
    <row r="988">
      <c r="A988" s="256"/>
      <c r="B988" s="255"/>
      <c r="C988" s="256"/>
      <c r="D988" s="256"/>
      <c r="E988" s="256"/>
      <c r="F988" s="256"/>
      <c r="G988" s="256"/>
      <c r="H988" s="256"/>
      <c r="I988" s="256"/>
      <c r="J988" s="256"/>
      <c r="K988" s="256"/>
      <c r="L988" s="256"/>
      <c r="M988" s="256"/>
      <c r="N988" s="256"/>
      <c r="O988" s="256"/>
      <c r="P988" s="256"/>
      <c r="Q988" s="256"/>
      <c r="R988" s="256"/>
      <c r="S988" s="256"/>
      <c r="T988" s="256"/>
      <c r="U988" s="256"/>
      <c r="V988" s="256"/>
      <c r="W988" s="256"/>
      <c r="X988" s="256"/>
      <c r="Y988" s="256"/>
      <c r="Z988" s="256"/>
      <c r="AA988" s="256"/>
    </row>
    <row r="989">
      <c r="A989" s="256"/>
      <c r="B989" s="255"/>
      <c r="C989" s="256"/>
      <c r="D989" s="256"/>
      <c r="E989" s="256"/>
      <c r="F989" s="256"/>
      <c r="G989" s="256"/>
      <c r="H989" s="256"/>
      <c r="I989" s="256"/>
      <c r="J989" s="256"/>
      <c r="K989" s="256"/>
      <c r="L989" s="256"/>
      <c r="M989" s="256"/>
      <c r="N989" s="256"/>
      <c r="O989" s="256"/>
      <c r="P989" s="256"/>
      <c r="Q989" s="256"/>
      <c r="R989" s="256"/>
      <c r="S989" s="256"/>
      <c r="T989" s="256"/>
      <c r="U989" s="256"/>
      <c r="V989" s="256"/>
      <c r="W989" s="256"/>
      <c r="X989" s="256"/>
      <c r="Y989" s="256"/>
      <c r="Z989" s="256"/>
      <c r="AA989" s="256"/>
    </row>
    <row r="990">
      <c r="A990" s="256"/>
      <c r="B990" s="255"/>
      <c r="C990" s="256"/>
      <c r="D990" s="256"/>
      <c r="E990" s="256"/>
      <c r="F990" s="256"/>
      <c r="G990" s="256"/>
      <c r="H990" s="256"/>
      <c r="I990" s="256"/>
      <c r="J990" s="256"/>
      <c r="K990" s="256"/>
      <c r="L990" s="256"/>
      <c r="M990" s="256"/>
      <c r="N990" s="256"/>
      <c r="O990" s="256"/>
      <c r="P990" s="256"/>
      <c r="Q990" s="256"/>
      <c r="R990" s="256"/>
      <c r="S990" s="256"/>
      <c r="T990" s="256"/>
      <c r="U990" s="256"/>
      <c r="V990" s="256"/>
      <c r="W990" s="256"/>
      <c r="X990" s="256"/>
      <c r="Y990" s="256"/>
      <c r="Z990" s="256"/>
      <c r="AA990" s="256"/>
    </row>
    <row r="991">
      <c r="A991" s="256"/>
      <c r="B991" s="255"/>
      <c r="C991" s="256"/>
      <c r="D991" s="256"/>
      <c r="E991" s="256"/>
      <c r="F991" s="256"/>
      <c r="G991" s="256"/>
      <c r="H991" s="256"/>
      <c r="I991" s="256"/>
      <c r="J991" s="256"/>
      <c r="K991" s="256"/>
      <c r="L991" s="256"/>
      <c r="M991" s="256"/>
      <c r="N991" s="256"/>
      <c r="O991" s="256"/>
      <c r="P991" s="256"/>
      <c r="Q991" s="256"/>
      <c r="R991" s="256"/>
      <c r="S991" s="256"/>
      <c r="T991" s="256"/>
      <c r="U991" s="256"/>
      <c r="V991" s="256"/>
      <c r="W991" s="256"/>
      <c r="X991" s="256"/>
      <c r="Y991" s="256"/>
      <c r="Z991" s="256"/>
      <c r="AA991" s="256"/>
    </row>
    <row r="992">
      <c r="A992" s="256"/>
      <c r="B992" s="255"/>
      <c r="C992" s="256"/>
      <c r="D992" s="256"/>
      <c r="E992" s="256"/>
      <c r="F992" s="256"/>
      <c r="G992" s="256"/>
      <c r="H992" s="256"/>
      <c r="I992" s="256"/>
      <c r="J992" s="256"/>
      <c r="K992" s="256"/>
      <c r="L992" s="256"/>
      <c r="M992" s="256"/>
      <c r="N992" s="256"/>
      <c r="O992" s="256"/>
      <c r="P992" s="256"/>
      <c r="Q992" s="256"/>
      <c r="R992" s="256"/>
      <c r="S992" s="256"/>
      <c r="T992" s="256"/>
      <c r="U992" s="256"/>
      <c r="V992" s="256"/>
      <c r="W992" s="256"/>
      <c r="X992" s="256"/>
      <c r="Y992" s="256"/>
      <c r="Z992" s="256"/>
      <c r="AA992" s="256"/>
    </row>
    <row r="993">
      <c r="A993" s="256"/>
      <c r="B993" s="255"/>
      <c r="C993" s="256"/>
      <c r="D993" s="256"/>
      <c r="E993" s="256"/>
      <c r="F993" s="256"/>
      <c r="G993" s="256"/>
      <c r="H993" s="256"/>
      <c r="I993" s="256"/>
      <c r="J993" s="256"/>
      <c r="K993" s="256"/>
      <c r="L993" s="256"/>
      <c r="M993" s="256"/>
      <c r="N993" s="256"/>
      <c r="O993" s="256"/>
      <c r="P993" s="256"/>
      <c r="Q993" s="256"/>
      <c r="R993" s="256"/>
      <c r="S993" s="256"/>
      <c r="T993" s="256"/>
      <c r="U993" s="256"/>
      <c r="V993" s="256"/>
      <c r="W993" s="256"/>
      <c r="X993" s="256"/>
      <c r="Y993" s="256"/>
      <c r="Z993" s="256"/>
      <c r="AA993" s="256"/>
    </row>
    <row r="994">
      <c r="A994" s="256"/>
      <c r="B994" s="255"/>
      <c r="C994" s="256"/>
      <c r="D994" s="256"/>
      <c r="E994" s="256"/>
      <c r="F994" s="256"/>
      <c r="G994" s="256"/>
      <c r="H994" s="256"/>
      <c r="I994" s="256"/>
      <c r="J994" s="256"/>
      <c r="K994" s="256"/>
      <c r="L994" s="256"/>
      <c r="M994" s="256"/>
      <c r="N994" s="256"/>
      <c r="O994" s="256"/>
      <c r="P994" s="256"/>
      <c r="Q994" s="256"/>
      <c r="R994" s="256"/>
      <c r="S994" s="256"/>
      <c r="T994" s="256"/>
      <c r="U994" s="256"/>
      <c r="V994" s="256"/>
      <c r="W994" s="256"/>
      <c r="X994" s="256"/>
      <c r="Y994" s="256"/>
      <c r="Z994" s="256"/>
      <c r="AA994" s="256"/>
    </row>
    <row r="995">
      <c r="A995" s="256"/>
      <c r="B995" s="255"/>
      <c r="C995" s="256"/>
      <c r="D995" s="256"/>
      <c r="E995" s="256"/>
      <c r="F995" s="256"/>
      <c r="G995" s="256"/>
      <c r="H995" s="256"/>
      <c r="I995" s="256"/>
      <c r="J995" s="256"/>
      <c r="K995" s="256"/>
      <c r="L995" s="256"/>
      <c r="M995" s="256"/>
      <c r="N995" s="256"/>
      <c r="O995" s="256"/>
      <c r="P995" s="256"/>
      <c r="Q995" s="256"/>
      <c r="R995" s="256"/>
      <c r="S995" s="256"/>
      <c r="T995" s="256"/>
      <c r="U995" s="256"/>
      <c r="V995" s="256"/>
      <c r="W995" s="256"/>
      <c r="X995" s="256"/>
      <c r="Y995" s="256"/>
      <c r="Z995" s="256"/>
      <c r="AA995" s="256"/>
    </row>
    <row r="996">
      <c r="A996" s="256"/>
      <c r="B996" s="255"/>
      <c r="C996" s="256"/>
      <c r="D996" s="256"/>
      <c r="E996" s="256"/>
      <c r="F996" s="256"/>
      <c r="G996" s="256"/>
      <c r="H996" s="256"/>
      <c r="I996" s="256"/>
      <c r="J996" s="256"/>
      <c r="K996" s="256"/>
      <c r="L996" s="256"/>
      <c r="M996" s="256"/>
      <c r="N996" s="256"/>
      <c r="O996" s="256"/>
      <c r="P996" s="256"/>
      <c r="Q996" s="256"/>
      <c r="R996" s="256"/>
      <c r="S996" s="256"/>
      <c r="T996" s="256"/>
      <c r="U996" s="256"/>
      <c r="V996" s="256"/>
      <c r="W996" s="256"/>
      <c r="X996" s="256"/>
      <c r="Y996" s="256"/>
      <c r="Z996" s="256"/>
      <c r="AA996" s="256"/>
    </row>
    <row r="997">
      <c r="A997" s="256"/>
      <c r="B997" s="255"/>
      <c r="C997" s="256"/>
      <c r="D997" s="256"/>
      <c r="E997" s="256"/>
      <c r="F997" s="256"/>
      <c r="G997" s="256"/>
      <c r="H997" s="256"/>
      <c r="I997" s="256"/>
      <c r="J997" s="256"/>
      <c r="K997" s="256"/>
      <c r="L997" s="256"/>
      <c r="M997" s="256"/>
      <c r="N997" s="256"/>
      <c r="O997" s="256"/>
      <c r="P997" s="256"/>
      <c r="Q997" s="256"/>
      <c r="R997" s="256"/>
      <c r="S997" s="256"/>
      <c r="T997" s="256"/>
      <c r="U997" s="256"/>
      <c r="V997" s="256"/>
      <c r="W997" s="256"/>
      <c r="X997" s="256"/>
      <c r="Y997" s="256"/>
      <c r="Z997" s="256"/>
      <c r="AA997" s="256"/>
    </row>
    <row r="998">
      <c r="A998" s="256"/>
      <c r="B998" s="255"/>
      <c r="C998" s="256"/>
      <c r="D998" s="256"/>
      <c r="E998" s="256"/>
      <c r="F998" s="256"/>
      <c r="G998" s="256"/>
      <c r="H998" s="256"/>
      <c r="I998" s="256"/>
      <c r="J998" s="256"/>
      <c r="K998" s="256"/>
      <c r="L998" s="256"/>
      <c r="M998" s="256"/>
      <c r="N998" s="256"/>
      <c r="O998" s="256"/>
      <c r="P998" s="256"/>
      <c r="Q998" s="256"/>
      <c r="R998" s="256"/>
      <c r="S998" s="256"/>
      <c r="T998" s="256"/>
      <c r="U998" s="256"/>
      <c r="V998" s="256"/>
      <c r="W998" s="256"/>
      <c r="X998" s="256"/>
      <c r="Y998" s="256"/>
      <c r="Z998" s="256"/>
      <c r="AA998" s="256"/>
    </row>
    <row r="999">
      <c r="A999" s="256"/>
      <c r="B999" s="255"/>
      <c r="C999" s="256"/>
      <c r="D999" s="256"/>
      <c r="E999" s="256"/>
      <c r="F999" s="256"/>
      <c r="G999" s="256"/>
      <c r="H999" s="256"/>
      <c r="I999" s="256"/>
      <c r="J999" s="256"/>
      <c r="K999" s="256"/>
      <c r="L999" s="256"/>
      <c r="M999" s="256"/>
      <c r="N999" s="256"/>
      <c r="O999" s="256"/>
      <c r="P999" s="256"/>
      <c r="Q999" s="256"/>
      <c r="R999" s="256"/>
      <c r="S999" s="256"/>
      <c r="T999" s="256"/>
      <c r="U999" s="256"/>
      <c r="V999" s="256"/>
      <c r="W999" s="256"/>
      <c r="X999" s="256"/>
      <c r="Y999" s="256"/>
      <c r="Z999" s="256"/>
      <c r="AA999" s="256"/>
    </row>
    <row r="1000">
      <c r="A1000" s="256"/>
      <c r="B1000" s="255"/>
      <c r="C1000" s="256"/>
      <c r="D1000" s="256"/>
      <c r="E1000" s="256"/>
      <c r="F1000" s="256"/>
      <c r="G1000" s="256"/>
      <c r="H1000" s="256"/>
      <c r="I1000" s="256"/>
      <c r="J1000" s="256"/>
      <c r="K1000" s="256"/>
      <c r="L1000" s="256"/>
      <c r="M1000" s="256"/>
      <c r="N1000" s="256"/>
      <c r="O1000" s="256"/>
      <c r="P1000" s="256"/>
      <c r="Q1000" s="256"/>
      <c r="R1000" s="256"/>
      <c r="S1000" s="256"/>
      <c r="T1000" s="256"/>
      <c r="U1000" s="256"/>
      <c r="V1000" s="256"/>
      <c r="W1000" s="256"/>
      <c r="X1000" s="256"/>
      <c r="Y1000" s="256"/>
      <c r="Z1000" s="256"/>
      <c r="AA1000" s="2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2" t="s">
        <v>1118</v>
      </c>
    </row>
    <row r="2">
      <c r="A2" s="222" t="s">
        <v>1119</v>
      </c>
    </row>
    <row r="3">
      <c r="A3" s="222" t="s">
        <v>1120</v>
      </c>
    </row>
    <row r="4">
      <c r="A4" s="222" t="s">
        <v>1121</v>
      </c>
    </row>
    <row r="5">
      <c r="A5" s="222" t="s">
        <v>1122</v>
      </c>
    </row>
  </sheetData>
  <drawing r:id="rId1"/>
</worksheet>
</file>